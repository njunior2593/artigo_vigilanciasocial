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201.xml"/>
  <Override ContentType="application/vnd.openxmlformats-officedocument.drawingml.chart+xml" PartName="/xl/charts/chart27.xml"/>
  <Override ContentType="application/vnd.openxmlformats-officedocument.drawingml.chart+xml" PartName="/xl/charts/chart104.xml"/>
  <Override ContentType="application/vnd.openxmlformats-officedocument.drawingml.chart+xml" PartName="/xl/charts/chart198.xml"/>
  <Override ContentType="application/vnd.openxmlformats-officedocument.drawingml.chart+xml" PartName="/xl/charts/chart43.xml"/>
  <Override ContentType="application/vnd.openxmlformats-officedocument.drawingml.chart+xml" PartName="/xl/charts/chart120.xml"/>
  <Override ContentType="application/vnd.openxmlformats-officedocument.drawingml.chart+xml" PartName="/xl/charts/chart147.xml"/>
  <Override ContentType="application/vnd.openxmlformats-officedocument.drawingml.chart+xml" PartName="/xl/charts/chart78.xml"/>
  <Override ContentType="application/vnd.openxmlformats-officedocument.drawingml.chart+xml" PartName="/xl/charts/chart155.xml"/>
  <Override ContentType="application/vnd.openxmlformats-officedocument.drawingml.chart+xml" PartName="/xl/charts/chart35.xml"/>
  <Override ContentType="application/vnd.openxmlformats-officedocument.drawingml.chart+xml" PartName="/xl/charts/chart112.xml"/>
  <Override ContentType="application/vnd.openxmlformats-officedocument.drawingml.chart+xml" PartName="/xl/charts/chart94.xml"/>
  <Override ContentType="application/vnd.openxmlformats-officedocument.drawingml.chart+xml" PartName="/xl/charts/chart51.xml"/>
  <Override ContentType="application/vnd.openxmlformats-officedocument.drawingml.chart+xml" PartName="/xl/charts/chart139.xml"/>
  <Override ContentType="application/vnd.openxmlformats-officedocument.drawingml.chart+xml" PartName="/xl/charts/chart86.xml"/>
  <Override ContentType="application/vnd.openxmlformats-officedocument.drawingml.chart+xml" PartName="/xl/charts/chart191.xml"/>
  <Override ContentType="application/vnd.openxmlformats-officedocument.drawingml.chart+xml" PartName="/xl/charts/chart20.xml"/>
  <Override ContentType="application/vnd.openxmlformats-officedocument.drawingml.chart+xml" PartName="/xl/charts/chart175.xml"/>
  <Override ContentType="application/vnd.openxmlformats-officedocument.drawingml.chart+xml" PartName="/xl/charts/chart63.xml"/>
  <Override ContentType="application/vnd.openxmlformats-officedocument.drawingml.chart+xml" PartName="/xl/charts/chart127.xml"/>
  <Override ContentType="application/vnd.openxmlformats-officedocument.drawingml.chart+xml" PartName="/xl/charts/chart58.xml"/>
  <Override ContentType="application/vnd.openxmlformats-officedocument.drawingml.chart+xml" PartName="/xl/charts/chart159.xml"/>
  <Override ContentType="application/vnd.openxmlformats-officedocument.drawingml.chart+xml" PartName="/xl/charts/chart15.xml"/>
  <Override ContentType="application/vnd.openxmlformats-officedocument.drawingml.chart+xml" PartName="/xl/charts/chart132.xml"/>
  <Override ContentType="application/vnd.openxmlformats-officedocument.drawingml.chart+xml" PartName="/xl/charts/chart163.xml"/>
  <Override ContentType="application/vnd.openxmlformats-officedocument.drawingml.chart+xml" PartName="/xl/charts/chart5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116.xml"/>
  <Override ContentType="application/vnd.openxmlformats-officedocument.drawingml.chart+xml" PartName="/xl/charts/chart205.xml"/>
  <Override ContentType="application/vnd.openxmlformats-officedocument.drawingml.chart+xml" PartName="/xl/charts/chart2.xml"/>
  <Override ContentType="application/vnd.openxmlformats-officedocument.drawingml.chart+xml" PartName="/xl/charts/chart178.xml"/>
  <Override ContentType="application/vnd.openxmlformats-officedocument.drawingml.chart+xml" PartName="/xl/charts/chart135.xml"/>
  <Override ContentType="application/vnd.openxmlformats-officedocument.drawingml.chart+xml" PartName="/xl/charts/chart47.xml"/>
  <Override ContentType="application/vnd.openxmlformats-officedocument.drawingml.chart+xml" PartName="/xl/charts/chart91.xml"/>
  <Override ContentType="application/vnd.openxmlformats-officedocument.drawingml.chart+xml" PartName="/xl/charts/chart143.xml"/>
  <Override ContentType="application/vnd.openxmlformats-officedocument.drawingml.chart+xml" PartName="/xl/charts/chart186.xml"/>
  <Override ContentType="application/vnd.openxmlformats-officedocument.drawingml.chart+xml" PartName="/xl/charts/chart55.xml"/>
  <Override ContentType="application/vnd.openxmlformats-officedocument.drawingml.chart+xml" PartName="/xl/charts/chart160.xml"/>
  <Override ContentType="application/vnd.openxmlformats-officedocument.drawingml.chart+xml" PartName="/xl/charts/chart12.xml"/>
  <Override ContentType="application/vnd.openxmlformats-officedocument.drawingml.chart+xml" PartName="/xl/charts/chart195.xml"/>
  <Override ContentType="application/vnd.openxmlformats-officedocument.drawingml.chart+xml" PartName="/xl/charts/chart38.xml"/>
  <Override ContentType="application/vnd.openxmlformats-officedocument.drawingml.chart+xml" PartName="/xl/charts/chart100.xml"/>
  <Override ContentType="application/vnd.openxmlformats-officedocument.drawingml.chart+xml" PartName="/xl/charts/chart152.xml"/>
  <Override ContentType="application/vnd.openxmlformats-officedocument.drawingml.chart+xml" PartName="/xl/charts/chart98.xml"/>
  <Override ContentType="application/vnd.openxmlformats-officedocument.drawingml.chart+xml" PartName="/xl/charts/chart190.xml"/>
  <Override ContentType="application/vnd.openxmlformats-officedocument.drawingml.chart+xml" PartName="/xl/charts/chart83.xml"/>
  <Override ContentType="application/vnd.openxmlformats-officedocument.drawingml.chart+xml" PartName="/xl/charts/chart66.xml"/>
  <Override ContentType="application/vnd.openxmlformats-officedocument.drawingml.chart+xml" PartName="/xl/charts/chart124.xml"/>
  <Override ContentType="application/vnd.openxmlformats-officedocument.drawingml.chart+xml" PartName="/xl/charts/chart70.xml"/>
  <Override ContentType="application/vnd.openxmlformats-officedocument.drawingml.chart+xml" PartName="/xl/charts/chart171.xml"/>
  <Override ContentType="application/vnd.openxmlformats-officedocument.drawingml.chart+xml" PartName="/xl/charts/chart40.xml"/>
  <Override ContentType="application/vnd.openxmlformats-officedocument.drawingml.chart+xml" PartName="/xl/charts/chart10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16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172.xml"/>
  <Override ContentType="application/vnd.openxmlformats-officedocument.drawingml.chart+xml" PartName="/xl/charts/chart95.xml"/>
  <Override ContentType="application/vnd.openxmlformats-officedocument.drawingml.chart+xml" PartName="/xl/charts/chart138.xml"/>
  <Override ContentType="application/vnd.openxmlformats-officedocument.drawingml.chart+xml" PartName="/xl/charts/chart77.xml"/>
  <Override ContentType="application/vnd.openxmlformats-officedocument.drawingml.chart+xml" PartName="/xl/charts/chart105.xml"/>
  <Override ContentType="application/vnd.openxmlformats-officedocument.drawingml.chart+xml" PartName="/xl/charts/chart34.xml"/>
  <Override ContentType="application/vnd.openxmlformats-officedocument.drawingml.chart+xml" PartName="/xl/charts/chart202.xml"/>
  <Override ContentType="application/vnd.openxmlformats-officedocument.drawingml.chart+xml" PartName="/xl/charts/chart8.xml"/>
  <Override ContentType="application/vnd.openxmlformats-officedocument.drawingml.chart+xml" PartName="/xl/charts/chart42.xml"/>
  <Override ContentType="application/vnd.openxmlformats-officedocument.drawingml.chart+xml" PartName="/xl/charts/chart148.xml"/>
  <Override ContentType="application/vnd.openxmlformats-officedocument.drawingml.chart+xml" PartName="/xl/charts/chart199.xml"/>
  <Override ContentType="application/vnd.openxmlformats-officedocument.drawingml.chart+xml" PartName="/xl/charts/chart156.xml"/>
  <Override ContentType="application/vnd.openxmlformats-officedocument.drawingml.chart+xml" PartName="/xl/charts/chart182.xml"/>
  <Override ContentType="application/vnd.openxmlformats-officedocument.drawingml.chart+xml" PartName="/xl/charts/chart113.xml"/>
  <Override ContentType="application/vnd.openxmlformats-officedocument.drawingml.chart+xml" PartName="/xl/charts/chart89.xml"/>
  <Override ContentType="application/vnd.openxmlformats-officedocument.drawingml.chart+xml" PartName="/xl/charts/chart46.xml"/>
  <Override ContentType="application/vnd.openxmlformats-officedocument.drawingml.chart+xml" PartName="/xl/charts/chart187.xml"/>
  <Override ContentType="application/vnd.openxmlformats-officedocument.drawingml.chart+xml" PartName="/xl/charts/chart4.xml"/>
  <Override ContentType="application/vnd.openxmlformats-officedocument.drawingml.chart+xml" PartName="/xl/charts/chart144.xml"/>
  <Override ContentType="application/vnd.openxmlformats-officedocument.drawingml.chart+xml" PartName="/xl/charts/chart101.xml"/>
  <Override ContentType="application/vnd.openxmlformats-officedocument.drawingml.chart+xml" PartName="/xl/charts/chart28.xml"/>
  <Override ContentType="application/vnd.openxmlformats-officedocument.drawingml.chart+xml" PartName="/xl/charts/chart162.xml"/>
  <Override ContentType="application/vnd.openxmlformats-officedocument.drawingml.chart+xml" PartName="/xl/charts/chart80.xml"/>
  <Override ContentType="application/vnd.openxmlformats-officedocument.drawingml.chart+xml" PartName="/xl/charts/chart133.xml"/>
  <Override ContentType="application/vnd.openxmlformats-officedocument.drawingml.chart+xml" PartName="/xl/charts/chart62.xml"/>
  <Override ContentType="application/vnd.openxmlformats-officedocument.drawingml.chart+xml" PartName="/xl/charts/chart176.xml"/>
  <Override ContentType="application/vnd.openxmlformats-officedocument.drawingml.chart+xml" PartName="/xl/charts/chart128.xml"/>
  <Override ContentType="application/vnd.openxmlformats-officedocument.drawingml.chart+xml" PartName="/xl/charts/chart90.xml"/>
  <Override ContentType="application/vnd.openxmlformats-officedocument.drawingml.chart+xml" PartName="/xl/charts/chart117.xml"/>
  <Override ContentType="application/vnd.openxmlformats-officedocument.drawingml.chart+xml" PartName="/xl/charts/chart177.xml"/>
  <Override ContentType="application/vnd.openxmlformats-officedocument.drawingml.chart+xml" PartName="/xl/charts/chart13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151.xml"/>
  <Override ContentType="application/vnd.openxmlformats-officedocument.drawingml.chart+xml" PartName="/xl/charts/chart194.xml"/>
  <Override ContentType="application/vnd.openxmlformats-officedocument.drawingml.chart+xml" PartName="/xl/charts/chart39.xml"/>
  <Override ContentType="application/vnd.openxmlformats-officedocument.drawingml.chart+xml" PartName="/xl/charts/chart56.xml"/>
  <Override ContentType="application/vnd.openxmlformats-officedocument.drawingml.chart+xml" PartName="/xl/charts/chart99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206.xml"/>
  <Override ContentType="application/vnd.openxmlformats-officedocument.drawingml.chart+xml" PartName="/xl/charts/chart41.xml"/>
  <Override ContentType="application/vnd.openxmlformats-officedocument.drawingml.chart+xml" PartName="/xl/charts/chart166.xml"/>
  <Override ContentType="application/vnd.openxmlformats-officedocument.drawingml.chart+xml" PartName="/xl/charts/chart84.xml"/>
  <Override ContentType="application/vnd.openxmlformats-officedocument.drawingml.chart+xml" PartName="/xl/charts/chart123.xml"/>
  <Override ContentType="application/vnd.openxmlformats-officedocument.drawingml.chart+xml" PartName="/xl/charts/chart149.xml"/>
  <Override ContentType="application/vnd.openxmlformats-officedocument.drawingml.chart+xml" PartName="/xl/charts/chart183.xml"/>
  <Override ContentType="application/vnd.openxmlformats-officedocument.drawingml.chart+xml" PartName="/xl/charts/chart106.xml"/>
  <Override ContentType="application/vnd.openxmlformats-officedocument.drawingml.chart+xml" PartName="/xl/charts/chart67.xml"/>
  <Override ContentType="application/vnd.openxmlformats-officedocument.drawingml.chart+xml" PartName="/xl/charts/chart24.xml"/>
  <Override ContentType="application/vnd.openxmlformats-officedocument.drawingml.chart+xml" PartName="/xl/charts/chart140.xml"/>
  <Override ContentType="application/vnd.openxmlformats-officedocument.drawingml.chart+xml" PartName="/xl/charts/chart7.xml"/>
  <Override ContentType="application/vnd.openxmlformats-officedocument.drawingml.chart+xml" PartName="/xl/charts/chart181.xml"/>
  <Override ContentType="application/vnd.openxmlformats-officedocument.drawingml.chart+xml" PartName="/xl/charts/chart61.xml"/>
  <Override ContentType="application/vnd.openxmlformats-officedocument.drawingml.chart+xml" PartName="/xl/charts/chart130.xml"/>
  <Override ContentType="application/vnd.openxmlformats-officedocument.drawingml.chart+xml" PartName="/xl/charts/chart122.xml"/>
  <Override ContentType="application/vnd.openxmlformats-officedocument.drawingml.chart+xml" PartName="/xl/charts/chart17.xml"/>
  <Override ContentType="application/vnd.openxmlformats-officedocument.drawingml.chart+xml" PartName="/xl/charts/chart173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165.xml"/>
  <Override ContentType="application/vnd.openxmlformats-officedocument.drawingml.chart+xml" PartName="/xl/charts/chart161.xml"/>
  <Override ContentType="application/vnd.openxmlformats-officedocument.drawingml.chart+xml" PartName="/xl/charts/chart29.xml"/>
  <Override ContentType="application/vnd.openxmlformats-officedocument.drawingml.chart+xml" PartName="/xl/charts/chart188.xml"/>
  <Override ContentType="application/vnd.openxmlformats-officedocument.drawingml.chart+xml" PartName="/xl/charts/chart157.xml"/>
  <Override ContentType="application/vnd.openxmlformats-officedocument.drawingml.chart+xml" PartName="/xl/charts/chart33.xml"/>
  <Override ContentType="application/vnd.openxmlformats-officedocument.drawingml.chart+xml" PartName="/xl/charts/chart76.xml"/>
  <Override ContentType="application/vnd.openxmlformats-officedocument.drawingml.chart+xml" PartName="/xl/charts/chart114.xml"/>
  <Override ContentType="application/vnd.openxmlformats-officedocument.drawingml.chart+xml" PartName="/xl/charts/chart129.xml"/>
  <Override ContentType="application/vnd.openxmlformats-officedocument.drawingml.chart+xml" PartName="/xl/charts/chart45.xml"/>
  <Override ContentType="application/vnd.openxmlformats-officedocument.drawingml.chart+xml" PartName="/xl/charts/chart102.xml"/>
  <Override ContentType="application/vnd.openxmlformats-officedocument.drawingml.chart+xml" PartName="/xl/charts/chart145.xml"/>
  <Override ContentType="application/vnd.openxmlformats-officedocument.drawingml.chart+xml" PartName="/xl/charts/chart92.xml"/>
  <Override ContentType="application/vnd.openxmlformats-officedocument.drawingml.chart+xml" PartName="/xl/charts/chart150.xml"/>
  <Override ContentType="application/vnd.openxmlformats-officedocument.drawingml.chart+xml" PartName="/xl/charts/chart88.xml"/>
  <Override ContentType="application/vnd.openxmlformats-officedocument.drawingml.chart+xml" PartName="/xl/charts/chart193.xml"/>
  <Override ContentType="application/vnd.openxmlformats-officedocument.drawingml.chart+xml" PartName="/xl/charts/chart57.xml"/>
  <Override ContentType="application/vnd.openxmlformats-officedocument.drawingml.chart+xml" PartName="/xl/charts/chart109.xml"/>
  <Override ContentType="application/vnd.openxmlformats-officedocument.drawingml.chart+xml" PartName="/xl/charts/chart14.xml"/>
  <Override ContentType="application/vnd.openxmlformats-officedocument.drawingml.chart+xml" PartName="/xl/charts/chart207.xml"/>
  <Override ContentType="application/vnd.openxmlformats-officedocument.drawingml.chart+xml" PartName="/xl/charts/chart72.xml"/>
  <Override ContentType="application/vnd.openxmlformats-officedocument.drawingml.chart+xml" PartName="/xl/charts/chart118.xml"/>
  <Override ContentType="application/vnd.openxmlformats-officedocument.drawingml.chart+xml" PartName="/xl/charts/chart81.xml"/>
  <Override ContentType="application/vnd.openxmlformats-officedocument.drawingml.chart+xml" PartName="/xl/charts/chart126.xml"/>
  <Override ContentType="application/vnd.openxmlformats-officedocument.drawingml.chart+xml" PartName="/xl/charts/chart169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85.xml"/>
  <Override ContentType="application/vnd.openxmlformats-officedocument.drawingml.chart+xml" PartName="/xl/charts/chart203.xml"/>
  <Override ContentType="application/vnd.openxmlformats-officedocument.drawingml.chart+xml" PartName="/xl/charts/chart53.xml"/>
  <Override ContentType="application/vnd.openxmlformats-officedocument.drawingml.chart+xml" PartName="/xl/charts/chart154.xml"/>
  <Override ContentType="application/vnd.openxmlformats-officedocument.drawingml.chart+xml" PartName="/xl/charts/chart10.xml"/>
  <Override ContentType="application/vnd.openxmlformats-officedocument.drawingml.chart+xml" PartName="/xl/charts/chart111.xml"/>
  <Override ContentType="application/vnd.openxmlformats-officedocument.drawingml.chart+xml" PartName="/xl/charts/chart184.xml"/>
  <Override ContentType="application/vnd.openxmlformats-officedocument.drawingml.chart+xml" PartName="/xl/charts/chart197.xml"/>
  <Override ContentType="application/vnd.openxmlformats-officedocument.drawingml.chart+xml" PartName="/xl/charts/chart137.xml"/>
  <Override ContentType="application/vnd.openxmlformats-officedocument.drawingml.chart+xml" PartName="/xl/charts/chart96.xml"/>
  <Override ContentType="application/vnd.openxmlformats-officedocument.drawingml.chart+xml" PartName="/xl/charts/chart49.xml"/>
  <Override ContentType="application/vnd.openxmlformats-officedocument.drawingml.chart+xml" PartName="/xl/charts/chart79.xml"/>
  <Override ContentType="application/vnd.openxmlformats-officedocument.drawingml.chart+xml" PartName="/xl/charts/chart141.xml"/>
  <Override ContentType="application/vnd.openxmlformats-officedocument.drawingml.chart+xml" PartName="/xl/charts/chart36.xml"/>
  <Override ContentType="application/vnd.openxmlformats-officedocument.drawingml.chart+xml" PartName="/xl/charts/chart44.xml"/>
  <Override ContentType="application/vnd.openxmlformats-officedocument.drawingml.chart+xml" PartName="/xl/charts/chart121.xml"/>
  <Override ContentType="application/vnd.openxmlformats-officedocument.drawingml.chart+xml" PartName="/xl/charts/chart87.xml"/>
  <Override ContentType="application/vnd.openxmlformats-officedocument.drawingml.chart+xml" PartName="/xl/charts/chart103.xml"/>
  <Override ContentType="application/vnd.openxmlformats-officedocument.drawingml.chart+xml" PartName="/xl/charts/chart164.xml"/>
  <Override ContentType="application/vnd.openxmlformats-officedocument.drawingml.chart+xml" PartName="/xl/charts/chart26.xml"/>
  <Override ContentType="application/vnd.openxmlformats-officedocument.drawingml.chart+xml" PartName="/xl/charts/chart69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158.xml"/>
  <Override ContentType="application/vnd.openxmlformats-officedocument.drawingml.chart+xml" PartName="/xl/charts/chart174.xml"/>
  <Override ContentType="application/vnd.openxmlformats-officedocument.drawingml.chart+xml" PartName="/xl/charts/chart131.xml"/>
  <Override ContentType="application/vnd.openxmlformats-officedocument.drawingml.chart+xml" PartName="/xl/charts/chart50.xml"/>
  <Override ContentType="application/vnd.openxmlformats-officedocument.drawingml.chart+xml" PartName="/xl/charts/chart93.xml"/>
  <Override ContentType="application/vnd.openxmlformats-officedocument.drawingml.chart+xml" PartName="/xl/charts/chart192.xml"/>
  <Override ContentType="application/vnd.openxmlformats-officedocument.drawingml.chart+xml" PartName="/xl/charts/chart6.xml"/>
  <Override ContentType="application/vnd.openxmlformats-officedocument.drawingml.chart+xml" PartName="/xl/charts/chart146.xml"/>
  <Override ContentType="application/vnd.openxmlformats-officedocument.drawingml.chart+xml" PartName="/xl/charts/chart200.xml"/>
  <Override ContentType="application/vnd.openxmlformats-officedocument.drawingml.chart+xml" PartName="/xl/charts/chart189.xml"/>
  <Override ContentType="application/vnd.openxmlformats-officedocument.drawingml.chart+xml" PartName="/xl/charts/chart32.xml"/>
  <Override ContentType="application/vnd.openxmlformats-officedocument.drawingml.chart+xml" PartName="/xl/charts/chart180.xml"/>
  <Override ContentType="application/vnd.openxmlformats-officedocument.drawingml.chart+xml" PartName="/xl/charts/chart75.xml"/>
  <Override ContentType="application/vnd.openxmlformats-officedocument.drawingml.chart+xml" PartName="/xl/charts/chart115.xml"/>
  <Override ContentType="application/vnd.openxmlformats-officedocument.drawingml.chart+xml" PartName="/xl/charts/chart65.xml"/>
  <Override ContentType="application/vnd.openxmlformats-officedocument.drawingml.chart+xml" PartName="/xl/charts/chart142.xml"/>
  <Override ContentType="application/vnd.openxmlformats-officedocument.drawingml.chart+xml" PartName="/xl/charts/chart185.xml"/>
  <Override ContentType="application/vnd.openxmlformats-officedocument.drawingml.chart+xml" PartName="/xl/charts/chart82.xml"/>
  <Override ContentType="application/vnd.openxmlformats-officedocument.drawingml.chart+xml" PartName="/xl/charts/chart125.xml"/>
  <Override ContentType="application/vnd.openxmlformats-officedocument.drawingml.chart+xml" PartName="/xl/charts/chart48.xml"/>
  <Override ContentType="application/vnd.openxmlformats-officedocument.drawingml.chart+xml" PartName="/xl/charts/chart168.xml"/>
  <Override ContentType="application/vnd.openxmlformats-officedocument.drawingml.chart+xml" PartName="/xl/charts/chart22.xml"/>
  <Override ContentType="application/vnd.openxmlformats-officedocument.drawingml.chart+xml" PartName="/xl/charts/chart108.xml"/>
  <Override ContentType="application/vnd.openxmlformats-officedocument.drawingml.chart+xml" PartName="/xl/charts/chart136.xml"/>
  <Override ContentType="application/vnd.openxmlformats-officedocument.drawingml.chart+xml" PartName="/xl/charts/chart11.xml"/>
  <Override ContentType="application/vnd.openxmlformats-officedocument.drawingml.chart+xml" PartName="/xl/charts/chart196.xml"/>
  <Override ContentType="application/vnd.openxmlformats-officedocument.drawingml.chart+xml" PartName="/xl/charts/chart71.xml"/>
  <Override ContentType="application/vnd.openxmlformats-officedocument.drawingml.chart+xml" PartName="/xl/charts/chart54.xml"/>
  <Override ContentType="application/vnd.openxmlformats-officedocument.drawingml.chart+xml" PartName="/xl/charts/chart97.xml"/>
  <Override ContentType="application/vnd.openxmlformats-officedocument.drawingml.chart+xml" PartName="/xl/charts/chart37.xml"/>
  <Override ContentType="application/vnd.openxmlformats-officedocument.drawingml.chart+xml" PartName="/xl/charts/chart170.xml"/>
  <Override ContentType="application/vnd.openxmlformats-officedocument.drawingml.chart+xml" PartName="/xl/charts/chart110.xml"/>
  <Override ContentType="application/vnd.openxmlformats-officedocument.drawingml.chart+xml" PartName="/xl/charts/chart179.xml"/>
  <Override ContentType="application/vnd.openxmlformats-officedocument.drawingml.chart+xml" PartName="/xl/charts/chart153.xml"/>
  <Override ContentType="application/vnd.openxmlformats-officedocument.drawingml.chart+xml" PartName="/xl/charts/chart1.xml"/>
  <Override ContentType="application/vnd.openxmlformats-officedocument.drawingml.chart+xml" PartName="/xl/charts/chart204.xml"/>
  <Override ContentType="application/vnd.openxmlformats-officedocument.drawingml.chart+xml" PartName="/xl/charts/chart119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SOAS - TABULAÇÃO" sheetId="1" r:id="rId5"/>
    <sheet state="visible" name="FAMÍLIAS - TABULAÇÃO" sheetId="2" r:id="rId6"/>
    <sheet state="visible" name="PESSOAS - GRÁFICOS " sheetId="3" r:id="rId7"/>
    <sheet state="visible" name="FAMÍLIAS - GRÁFICOS " sheetId="4" r:id="rId8"/>
  </sheets>
  <definedNames/>
  <calcPr/>
</workbook>
</file>

<file path=xl/sharedStrings.xml><?xml version="1.0" encoding="utf-8"?>
<sst xmlns="http://schemas.openxmlformats.org/spreadsheetml/2006/main" count="616" uniqueCount="180">
  <si>
    <t>Pessoas - Painel de Indicadores - Vigilância Socioassistencial - Novembro de 2025</t>
  </si>
  <si>
    <t>Responsável</t>
  </si>
  <si>
    <t>Vigilância Socioassistencial</t>
  </si>
  <si>
    <t>Contato:</t>
  </si>
  <si>
    <t>vigilanciasocial@sorocaba.sp.gov.br // 3212-6900</t>
  </si>
  <si>
    <t>Fonte de Dados:</t>
  </si>
  <si>
    <t>Cadastro Único</t>
  </si>
  <si>
    <t>Pessoas Georeferenciadas / Tabuladas</t>
  </si>
  <si>
    <t>TOTAL DE PESSOAS POR FAIXA ETARIA E UNIDADE</t>
  </si>
  <si>
    <t>Faixa Etaria</t>
  </si>
  <si>
    <t>Ana Paula Eleuterio</t>
  </si>
  <si>
    <t>Aparecidinha</t>
  </si>
  <si>
    <t>Brigadeiro Tobias</t>
  </si>
  <si>
    <t>Cajuru</t>
  </si>
  <si>
    <t>Caranda</t>
  </si>
  <si>
    <t>Ipiranga</t>
  </si>
  <si>
    <t>Laranjeiras</t>
  </si>
  <si>
    <t>Nova Esperança</t>
  </si>
  <si>
    <t>São Bento</t>
  </si>
  <si>
    <t>Sul Leste</t>
  </si>
  <si>
    <t>Vila Helena</t>
  </si>
  <si>
    <t>Vitória Régia</t>
  </si>
  <si>
    <t>Total</t>
  </si>
  <si>
    <t>Entre 0 e 4 anos</t>
  </si>
  <si>
    <t>Entre 5 a 6 anos</t>
  </si>
  <si>
    <t>Entre 7 a 15 anos</t>
  </si>
  <si>
    <t>Entre 16 a 17 anos</t>
  </si>
  <si>
    <t>Entre 18 a 24 anos</t>
  </si>
  <si>
    <t>Entre 25 a 34 anos</t>
  </si>
  <si>
    <t>Entre 35 a 39 anos</t>
  </si>
  <si>
    <t>Entre 40 a 44 anos</t>
  </si>
  <si>
    <t>Entre 45 a 49 anos</t>
  </si>
  <si>
    <t>Entre 50 a 54 anos</t>
  </si>
  <si>
    <t>Entre 55 a 59 anos</t>
  </si>
  <si>
    <t>Entre 60 a 64 anos</t>
  </si>
  <si>
    <t>Maior que 65 anos</t>
  </si>
  <si>
    <t>TOTAL DE PESSOAS/KM² POR FAIXA ETARIA E UNIDADE</t>
  </si>
  <si>
    <t>Raça / Cor</t>
  </si>
  <si>
    <t>Unidade</t>
  </si>
  <si>
    <t>Branca</t>
  </si>
  <si>
    <t>Preta</t>
  </si>
  <si>
    <t>Amarela</t>
  </si>
  <si>
    <t>Parda</t>
  </si>
  <si>
    <t>Sexo</t>
  </si>
  <si>
    <t>Local de Nascimento</t>
  </si>
  <si>
    <t>Deficientes</t>
  </si>
  <si>
    <t>Masculino</t>
  </si>
  <si>
    <t>Feminino</t>
  </si>
  <si>
    <t>Neste município</t>
  </si>
  <si>
    <t>Em outro município</t>
  </si>
  <si>
    <t>Em outro país</t>
  </si>
  <si>
    <t>Não informado</t>
  </si>
  <si>
    <t>Qtde</t>
  </si>
  <si>
    <t>Qtde/km²</t>
  </si>
  <si>
    <t>Tipo de deficiência</t>
  </si>
  <si>
    <t>Cegueira</t>
  </si>
  <si>
    <t>Baixa visao</t>
  </si>
  <si>
    <t>Surdez severa/profunda</t>
  </si>
  <si>
    <t>Surdez leve/moderada</t>
  </si>
  <si>
    <t>Deficiencia fisica</t>
  </si>
  <si>
    <t>Deficiencia mental ou intelectual</t>
  </si>
  <si>
    <t>Sindrome de Down</t>
  </si>
  <si>
    <t>Transtorno/doença mental</t>
  </si>
  <si>
    <t>Indicação se frequenta escola</t>
  </si>
  <si>
    <t>Saber ler/escrever - Acima de 17 anos</t>
  </si>
  <si>
    <t>Sim, rede publica</t>
  </si>
  <si>
    <t>Sim, rede particular</t>
  </si>
  <si>
    <t>Não, já frequentou</t>
  </si>
  <si>
    <t>Nunca frequentou</t>
  </si>
  <si>
    <t>Sim</t>
  </si>
  <si>
    <t>Não</t>
  </si>
  <si>
    <t>%</t>
  </si>
  <si>
    <t>Curso mais elevado que frequentou</t>
  </si>
  <si>
    <t>Creche</t>
  </si>
  <si>
    <t>Pre-escola</t>
  </si>
  <si>
    <t>Classe de Alfabetização</t>
  </si>
  <si>
    <t>E,F (8 anos)</t>
  </si>
  <si>
    <t>E,F (9 anos)</t>
  </si>
  <si>
    <t>E,F Especial</t>
  </si>
  <si>
    <t>E,M Regular</t>
  </si>
  <si>
    <t>E,M Especial</t>
  </si>
  <si>
    <t>E,F EJA (1ª a 4ª)</t>
  </si>
  <si>
    <t>E,F Eja (5ª a 8ª)</t>
  </si>
  <si>
    <t>E,M EJA (Supletivo)</t>
  </si>
  <si>
    <t>Alfabetização para Adultos</t>
  </si>
  <si>
    <t>Superior, Aperfeicoamento,Especializacao, Mestrado,Doutorado</t>
  </si>
  <si>
    <t>Pre-Vestibular</t>
  </si>
  <si>
    <t>Nenhum</t>
  </si>
  <si>
    <t>Curso que frequenta</t>
  </si>
  <si>
    <t>Trabalhou semana passada - Acima de 18 anos</t>
  </si>
  <si>
    <t>Trabalhador por conta propria (bico, autonomo)</t>
  </si>
  <si>
    <t>Trabalhador temporario em area rural</t>
  </si>
  <si>
    <t>Empregado sem carteira de trabalho assinada</t>
  </si>
  <si>
    <t>Empregado com carteira de trabalho assinada</t>
  </si>
  <si>
    <t>Trabalhador domestico sem carteira de trabalho assinada</t>
  </si>
  <si>
    <t>Trab, domestico com cart, de trab, Assinada</t>
  </si>
  <si>
    <t>Trabalhador nao-remunerado</t>
  </si>
  <si>
    <t>Militar ou servidor publico</t>
  </si>
  <si>
    <t>Empregador</t>
  </si>
  <si>
    <t>Estagiario</t>
  </si>
  <si>
    <t>Aprendiz</t>
  </si>
  <si>
    <t>Famílias - Painel de Indicadores - Vigilância Socioassistencial - Novembro de 2025</t>
  </si>
  <si>
    <t>Responsável:</t>
  </si>
  <si>
    <t>Famílias Georeferenciadas / Tabuladas</t>
  </si>
  <si>
    <t>77.687</t>
  </si>
  <si>
    <t>A diferença do total de famílias georeferenciadas para o total das tabelas em razão dos campos não informados</t>
  </si>
  <si>
    <t>Faixa de Renda Familiar</t>
  </si>
  <si>
    <t>Ate R$105,00</t>
  </si>
  <si>
    <t>Entre R$105,01 ate R$218,00</t>
  </si>
  <si>
    <t>Entre R$218,01 ate 1/2 S.M.</t>
  </si>
  <si>
    <t>Acima de 1/2 S,M,</t>
  </si>
  <si>
    <t>Densidade demográfica do CadÚnico</t>
  </si>
  <si>
    <t>Média de familias por km²</t>
  </si>
  <si>
    <t>Média</t>
  </si>
  <si>
    <t>-</t>
  </si>
  <si>
    <t>Espécie do domicílio</t>
  </si>
  <si>
    <t>Situação do domicílio</t>
  </si>
  <si>
    <t>Urbana</t>
  </si>
  <si>
    <t>Rural</t>
  </si>
  <si>
    <t>Particular Permanente</t>
  </si>
  <si>
    <t>Particular Improvisado</t>
  </si>
  <si>
    <t>Coletivo</t>
  </si>
  <si>
    <t>Número de Cômodos</t>
  </si>
  <si>
    <t>1 cômodo</t>
  </si>
  <si>
    <t>2 cômodos</t>
  </si>
  <si>
    <t>3 cômodos</t>
  </si>
  <si>
    <t>4 cômodos</t>
  </si>
  <si>
    <t>5 cômodos</t>
  </si>
  <si>
    <t>6 cômodos</t>
  </si>
  <si>
    <t>Acima de 6 cômodos</t>
  </si>
  <si>
    <t>Número de Cômodos servindo como dormitório do domicílio</t>
  </si>
  <si>
    <t>Acima de 3 cômodos</t>
  </si>
  <si>
    <t>Material predominante nas paredes externas do domicilio</t>
  </si>
  <si>
    <t>Alvenaria/tijolo com revestimento</t>
  </si>
  <si>
    <t>Alvenaria/tijolo sem revestimentox</t>
  </si>
  <si>
    <t>Madeira aparelhada</t>
  </si>
  <si>
    <t>Taipa revestida</t>
  </si>
  <si>
    <t>Taipa nao revestida</t>
  </si>
  <si>
    <t>Madeira aproveitada</t>
  </si>
  <si>
    <t>Palha</t>
  </si>
  <si>
    <t>Outro Material</t>
  </si>
  <si>
    <t>Material predominante no piso do domicílio</t>
  </si>
  <si>
    <t>Terra</t>
  </si>
  <si>
    <t>Cimento</t>
  </si>
  <si>
    <t>Cêramica, lajota ou pedra</t>
  </si>
  <si>
    <t>Carpete</t>
  </si>
  <si>
    <t>Outro material</t>
  </si>
  <si>
    <t>Água canalizada no domicílio</t>
  </si>
  <si>
    <t xml:space="preserve"> </t>
  </si>
  <si>
    <t>Forma de abastecimento de agua</t>
  </si>
  <si>
    <t>Rede geral de distribuicao</t>
  </si>
  <si>
    <t>Poço ou nascente</t>
  </si>
  <si>
    <t>Cisterna</t>
  </si>
  <si>
    <t>Outra forma</t>
  </si>
  <si>
    <t>Existência de banheiro</t>
  </si>
  <si>
    <t>Forma de escoamento sanitário</t>
  </si>
  <si>
    <t>Rede coletora de esgoto ou pluvial</t>
  </si>
  <si>
    <t>Fossa septica</t>
  </si>
  <si>
    <t>Fossa rudimentar</t>
  </si>
  <si>
    <t>Vala a céu aberto</t>
  </si>
  <si>
    <t>Direto para um rio, lago ou mar</t>
  </si>
  <si>
    <t>Forma de coleta do lixo</t>
  </si>
  <si>
    <t>É coletado diretamente</t>
  </si>
  <si>
    <t>É coletado indiretamente</t>
  </si>
  <si>
    <t>É queimado ou enterrado na propriedade</t>
  </si>
  <si>
    <t>É jogado em terreno baldio ou logradouro (rua, avenida, etc.)</t>
  </si>
  <si>
    <t>É jogado em rio ou mar</t>
  </si>
  <si>
    <t>Tem outro destino</t>
  </si>
  <si>
    <t>Tipo de Iluminação</t>
  </si>
  <si>
    <t>Elétrica com medidor próprio</t>
  </si>
  <si>
    <t>Elétrica com medidor comunitário</t>
  </si>
  <si>
    <t>Elétrica sem medidor</t>
  </si>
  <si>
    <t>Óleo, querosene ou gas</t>
  </si>
  <si>
    <t>Vela</t>
  </si>
  <si>
    <t>Calçamento em frente ao seu domicílio</t>
  </si>
  <si>
    <t>Parcial</t>
  </si>
  <si>
    <t>Não existe</t>
  </si>
  <si>
    <t>Pessoas - Painel de Indicadores - Cadastro Único - Novembro de 2025</t>
  </si>
  <si>
    <t>Tabulação de Dados / Responsável:</t>
  </si>
  <si>
    <t>Famílias - Painel de Indicadores - Cadastro Único - Novembro de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</si>
</sst>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24.0"/>
      <color rgb="FF274E13"/>
      <name val="Arial"/>
      <scheme val="minor"/>
    </font>
    <font>
      <sz val="12.0"/>
      <color theme="1"/>
      <name val="Arial"/>
    </font>
    <font>
      <b/>
      <color rgb="FF20124D"/>
      <name val="Arial"/>
    </font>
    <font>
      <b/>
      <color rgb="FF3C78D8"/>
      <name val="Arial"/>
    </font>
    <font>
      <color theme="1"/>
      <name val="Arial"/>
    </font>
    <font>
      <b/>
      <sz val="12.0"/>
      <color rgb="FFFFFFFF"/>
      <name val="Arial"/>
    </font>
    <font/>
    <font>
      <sz val="12.0"/>
      <color theme="1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sz val="14.0"/>
      <color rgb="FF000000"/>
      <name val="Arial"/>
    </font>
    <font>
      <sz val="12.0"/>
      <color rgb="FF000000"/>
      <name val="Calibri"/>
    </font>
    <font>
      <sz val="12.0"/>
      <color rgb="FF000000"/>
      <name val="&quot;Liberation Sans&quot;"/>
    </font>
    <font>
      <sz val="11.0"/>
      <color rgb="FF000000"/>
      <name val="Calibri"/>
    </font>
    <font>
      <b/>
      <sz val="11.0"/>
      <color rgb="FF333333"/>
      <name val="Roboto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0F243E"/>
        <bgColor rgb="FF0F243E"/>
      </patternFill>
    </fill>
    <fill>
      <patternFill patternType="solid">
        <fgColor rgb="FF16365C"/>
        <bgColor rgb="FF16365C"/>
      </patternFill>
    </fill>
    <fill>
      <patternFill patternType="solid">
        <fgColor rgb="FF948A54"/>
        <bgColor rgb="FF948A54"/>
      </patternFill>
    </fill>
    <fill>
      <patternFill patternType="solid">
        <fgColor rgb="FFC4BD97"/>
        <bgColor rgb="FFC4BD97"/>
      </patternFill>
    </fill>
    <fill>
      <patternFill patternType="solid">
        <fgColor rgb="FFDDD9C4"/>
        <bgColor rgb="FFDDD9C4"/>
      </patternFill>
    </fill>
    <fill>
      <patternFill patternType="solid">
        <fgColor rgb="FFD9D9D9"/>
        <bgColor rgb="FFD9D9D9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274E13"/>
        <bgColor rgb="FF274E13"/>
      </patternFill>
    </fill>
    <fill>
      <patternFill patternType="solid">
        <fgColor rgb="FFFCFCFC"/>
        <bgColor rgb="FFFCFCFC"/>
      </patternFill>
    </fill>
    <fill>
      <patternFill patternType="solid">
        <fgColor rgb="FFFFFFFF"/>
        <bgColor rgb="FFFFFFFF"/>
      </patternFill>
    </fill>
  </fills>
  <borders count="7">
    <border/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5" numFmtId="0" xfId="0" applyFont="1"/>
    <xf borderId="0" fillId="0" fontId="3" numFmtId="0" xfId="0" applyAlignment="1" applyFont="1">
      <alignment horizontal="right"/>
    </xf>
    <xf borderId="0" fillId="0" fontId="4" numFmtId="49" xfId="0" applyAlignment="1" applyFont="1" applyNumberFormat="1">
      <alignment readingOrder="0"/>
    </xf>
    <xf borderId="1" fillId="0" fontId="5" numFmtId="0" xfId="0" applyBorder="1" applyFont="1"/>
    <xf borderId="1" fillId="0" fontId="4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shrinkToFit="0" wrapText="0"/>
    </xf>
    <xf borderId="1" fillId="0" fontId="4" numFmtId="3" xfId="0" applyAlignment="1" applyBorder="1" applyFont="1" applyNumberFormat="1">
      <alignment horizontal="left" readingOrder="0" shrinkToFit="0" wrapText="0"/>
    </xf>
    <xf borderId="0" fillId="0" fontId="2" numFmtId="0" xfId="0" applyAlignment="1" applyFont="1">
      <alignment readingOrder="0"/>
    </xf>
    <xf borderId="2" fillId="2" fontId="6" numFmtId="0" xfId="0" applyAlignment="1" applyBorder="1" applyFill="1" applyFont="1">
      <alignment horizontal="center" readingOrder="0" shrinkToFit="0" wrapText="0"/>
    </xf>
    <xf borderId="3" fillId="0" fontId="7" numFmtId="0" xfId="0" applyBorder="1" applyFont="1"/>
    <xf borderId="4" fillId="0" fontId="7" numFmtId="0" xfId="0" applyBorder="1" applyFont="1"/>
    <xf borderId="0" fillId="0" fontId="8" numFmtId="0" xfId="0" applyFont="1"/>
    <xf borderId="5" fillId="3" fontId="6" numFmtId="0" xfId="0" applyAlignment="1" applyBorder="1" applyFill="1" applyFont="1">
      <alignment horizontal="center" readingOrder="0" shrinkToFit="0" vertical="center" wrapText="0"/>
    </xf>
    <xf borderId="5" fillId="3" fontId="6" numFmtId="0" xfId="0" applyAlignment="1" applyBorder="1" applyFill="1" applyFont="1">
      <alignment horizontal="center" readingOrder="0" shrinkToFit="0" vertical="center" wrapText="1"/>
    </xf>
    <xf borderId="5" fillId="4" fontId="9" numFmtId="0" xfId="0" applyAlignment="1" applyBorder="1" applyFill="1" applyFont="1">
      <alignment horizontal="center" readingOrder="0"/>
    </xf>
    <xf borderId="5" fillId="5" fontId="10" numFmtId="0" xfId="0" applyAlignment="1" applyBorder="1" applyFill="1" applyFont="1">
      <alignment horizontal="left" readingOrder="0" shrinkToFit="0" vertical="center" wrapText="0"/>
    </xf>
    <xf borderId="5" fillId="0" fontId="10" numFmtId="0" xfId="0" applyAlignment="1" applyBorder="1" applyFont="1">
      <alignment horizontal="center" readingOrder="0" vertical="center"/>
    </xf>
    <xf borderId="5" fillId="6" fontId="9" numFmtId="0" xfId="0" applyAlignment="1" applyBorder="1" applyFill="1" applyFont="1">
      <alignment horizontal="center" readingOrder="0" vertical="center"/>
    </xf>
    <xf borderId="5" fillId="7" fontId="10" numFmtId="0" xfId="0" applyAlignment="1" applyBorder="1" applyFill="1" applyFont="1">
      <alignment horizontal="center" readingOrder="0" vertical="center"/>
    </xf>
    <xf borderId="5" fillId="3" fontId="6" numFmtId="0" xfId="0" applyAlignment="1" applyBorder="1" applyFill="1" applyFont="1">
      <alignment horizontal="right" readingOrder="0" shrinkToFit="0" vertical="center" wrapText="0"/>
    </xf>
    <xf borderId="5" fillId="3" fontId="6" numFmtId="0" xfId="0" applyAlignment="1" applyBorder="1" applyFill="1" applyFont="1">
      <alignment horizontal="center" readingOrder="0" vertical="center"/>
    </xf>
    <xf borderId="5" fillId="0" fontId="11" numFmtId="0" xfId="0" applyAlignment="1" applyBorder="1" applyFont="1">
      <alignment horizontal="center" readingOrder="0"/>
    </xf>
    <xf borderId="2" fillId="2" fontId="6" numFmtId="0" xfId="0" applyAlignment="1" applyBorder="1" applyFill="1" applyFont="1">
      <alignment horizontal="center" readingOrder="0" vertical="center"/>
    </xf>
    <xf borderId="0" fillId="0" fontId="12" numFmtId="0" xfId="0" applyAlignment="1" applyFont="1">
      <alignment shrinkToFit="0" vertical="bottom" wrapText="0"/>
    </xf>
    <xf borderId="5" fillId="4" fontId="6" numFmtId="0" xfId="0" applyAlignment="1" applyBorder="1" applyFill="1" applyFont="1">
      <alignment horizontal="left" readingOrder="0"/>
    </xf>
    <xf borderId="5" fillId="4" fontId="6" numFmtId="0" xfId="0" applyAlignment="1" applyBorder="1" applyFill="1" applyFont="1">
      <alignment horizontal="left" readingOrder="0" shrinkToFit="0" wrapText="1"/>
    </xf>
    <xf borderId="5" fillId="0" fontId="10" numFmtId="4" xfId="0" applyAlignment="1" applyBorder="1" applyFont="1" applyNumberFormat="1">
      <alignment horizontal="right" readingOrder="0" vertical="bottom"/>
    </xf>
    <xf borderId="5" fillId="0" fontId="12" numFmtId="0" xfId="0" applyAlignment="1" applyBorder="1" applyFont="1">
      <alignment horizontal="center" readingOrder="0" vertical="bottom"/>
    </xf>
    <xf borderId="5" fillId="3" fontId="6" numFmtId="0" xfId="0" applyAlignment="1" applyBorder="1" applyFill="1" applyFont="1">
      <alignment horizontal="center" readingOrder="0" shrinkToFit="0" wrapText="1"/>
    </xf>
    <xf borderId="5" fillId="8" fontId="6" numFmtId="0" xfId="0" applyAlignment="1" applyBorder="1" applyFill="1" applyFont="1">
      <alignment horizontal="center" readingOrder="0" shrinkToFit="0" vertical="center" wrapText="1"/>
    </xf>
    <xf borderId="5" fillId="0" fontId="12" numFmtId="0" xfId="0" applyAlignment="1" applyBorder="1" applyFont="1">
      <alignment horizontal="center" readingOrder="0" vertical="center"/>
    </xf>
    <xf borderId="5" fillId="0" fontId="10" numFmtId="10" xfId="0" applyAlignment="1" applyBorder="1" applyFont="1" applyNumberFormat="1">
      <alignment horizontal="center" readingOrder="0" shrinkToFit="0" vertical="center" wrapText="1"/>
    </xf>
    <xf borderId="4" fillId="4" fontId="9" numFmtId="0" xfId="0" applyAlignment="1" applyBorder="1" applyFill="1" applyFont="1">
      <alignment horizontal="center" readingOrder="0" vertical="bottom"/>
    </xf>
    <xf borderId="5" fillId="0" fontId="12" numFmtId="0" xfId="0" applyAlignment="1" applyBorder="1" applyFont="1">
      <alignment horizontal="center" readingOrder="0" shrinkToFit="0" vertical="center" wrapText="1"/>
    </xf>
    <xf borderId="6" fillId="6" fontId="9" numFmtId="0" xfId="0" applyAlignment="1" applyBorder="1" applyFill="1" applyFont="1">
      <alignment horizontal="center" vertical="bottom"/>
    </xf>
    <xf borderId="4" fillId="4" fontId="9" numFmtId="0" xfId="0" applyAlignment="1" applyBorder="1" applyFill="1" applyFont="1">
      <alignment horizontal="center" vertical="bottom"/>
    </xf>
    <xf borderId="6" fillId="6" fontId="9" numFmtId="0" xfId="0" applyAlignment="1" applyBorder="1" applyFill="1" applyFont="1">
      <alignment horizontal="center" readingOrder="0" vertical="bottom"/>
    </xf>
    <xf borderId="5" fillId="4" fontId="9" numFmtId="0" xfId="0" applyAlignment="1" applyBorder="1" applyFill="1" applyFont="1">
      <alignment horizontal="center" readingOrder="0" vertical="center"/>
    </xf>
    <xf borderId="1" fillId="0" fontId="4" numFmtId="49" xfId="0" applyAlignment="1" applyBorder="1" applyFont="1" applyNumberFormat="1">
      <alignment horizontal="left" readingOrder="0" shrinkToFit="0" wrapText="0"/>
    </xf>
    <xf borderId="0" fillId="9" fontId="3" numFmtId="0" xfId="0" applyAlignment="1" applyFill="1" applyFont="1">
      <alignment horizontal="center" readingOrder="0" shrinkToFit="0" wrapText="1"/>
    </xf>
    <xf borderId="5" fillId="0" fontId="10" numFmtId="0" xfId="0" applyAlignment="1" applyBorder="1" applyFont="1">
      <alignment horizontal="center" readingOrder="0"/>
    </xf>
    <xf borderId="0" fillId="0" fontId="2" numFmtId="10" xfId="0" applyFont="1" applyNumberFormat="1"/>
    <xf borderId="5" fillId="4" fontId="9" numFmtId="0" xfId="0" applyAlignment="1" applyBorder="1" applyFill="1" applyFont="1">
      <alignment horizontal="center" readingOrder="0" shrinkToFit="0" wrapText="1"/>
    </xf>
    <xf borderId="5" fillId="0" fontId="10" numFmtId="4" xfId="0" applyAlignment="1" applyBorder="1" applyFont="1" applyNumberFormat="1">
      <alignment horizontal="center" readingOrder="0"/>
    </xf>
    <xf borderId="5" fillId="6" fontId="9" numFmtId="4" xfId="0" applyAlignment="1" applyBorder="1" applyFill="1" applyFont="1" applyNumberFormat="1">
      <alignment horizontal="center" readingOrder="0" vertical="center"/>
    </xf>
    <xf borderId="5" fillId="3" fontId="6" numFmtId="4" xfId="0" applyAlignment="1" applyBorder="1" applyFill="1" applyFont="1" applyNumberFormat="1">
      <alignment horizontal="center" readingOrder="0" vertical="center"/>
    </xf>
    <xf borderId="5" fillId="0" fontId="13" numFmtId="0" xfId="0" applyAlignment="1" applyBorder="1" applyFont="1">
      <alignment horizontal="center" readingOrder="0"/>
    </xf>
    <xf borderId="2" fillId="3" fontId="6" numFmtId="0" xfId="0" applyAlignment="1" applyBorder="1" applyFill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readingOrder="0" shrinkToFit="0" vertical="center" wrapText="1"/>
    </xf>
    <xf borderId="2" fillId="6" fontId="9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readingOrder="0"/>
    </xf>
    <xf borderId="0" fillId="10" fontId="2" numFmtId="0" xfId="0" applyFill="1" applyFont="1"/>
    <xf borderId="0" fillId="0" fontId="14" numFmtId="0" xfId="0" applyAlignment="1" applyFont="1">
      <alignment shrinkToFit="0" vertical="bottom" wrapText="0"/>
    </xf>
    <xf borderId="0" fillId="11" fontId="15" numFmtId="0" xfId="0" applyAlignment="1" applyFill="1" applyFont="1">
      <alignment readingOrder="0"/>
    </xf>
    <xf borderId="5" fillId="5" fontId="11" numFmtId="0" xfId="0" applyAlignment="1" applyBorder="1" applyFill="1" applyFont="1">
      <alignment horizontal="left" readingOrder="0" shrinkToFit="0" vertical="center" wrapText="0"/>
    </xf>
    <xf borderId="0" fillId="10" fontId="16" numFmtId="0" xfId="0" applyFill="1" applyFont="1"/>
    <xf borderId="0" fillId="12" fontId="2" numFmtId="0" xfId="0" applyFill="1" applyFont="1"/>
    <xf borderId="0" fillId="12" fontId="16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- Entre 0 e 4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TABULAÇÃO'!$C$8:$N$8</c:f>
            </c:strRef>
          </c:cat>
          <c:val>
            <c:numRef>
              <c:f>'PESSOAS - TABULAÇÃO'!$C$9:$N$9</c:f>
              <c:numCache/>
            </c:numRef>
          </c:val>
        </c:ser>
        <c:axId val="25814298"/>
        <c:axId val="654680594"/>
      </c:barChart>
      <c:catAx>
        <c:axId val="25814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654680594"/>
      </c:catAx>
      <c:valAx>
        <c:axId val="6546805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142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- Entre 5 a 6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TABULAÇÃO'!$B$10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TABULAÇÃO'!$C$8:$N$8</c:f>
            </c:strRef>
          </c:cat>
          <c:val>
            <c:numRef>
              <c:f>'PESSOAS - TABULAÇÃO'!$C$10:$N$10</c:f>
              <c:numCache/>
            </c:numRef>
          </c:val>
        </c:ser>
        <c:axId val="779541268"/>
        <c:axId val="558048182"/>
      </c:barChart>
      <c:catAx>
        <c:axId val="779541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8048182"/>
      </c:catAx>
      <c:valAx>
        <c:axId val="558048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95412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- Entre 7 a 15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TABULAÇÃO'!$B$11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TABULAÇÃO'!$C$8:$N$8</c:f>
            </c:strRef>
          </c:cat>
          <c:val>
            <c:numRef>
              <c:f>'PESSOAS - TABULAÇÃO'!$C$11:$N$11</c:f>
              <c:numCache/>
            </c:numRef>
          </c:val>
        </c:ser>
        <c:axId val="810061332"/>
        <c:axId val="418050030"/>
      </c:barChart>
      <c:catAx>
        <c:axId val="810061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8050030"/>
      </c:catAx>
      <c:valAx>
        <c:axId val="4180500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00613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- Entre 16 a 17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TABULAÇÃO'!$C$8:$N$8</c:f>
            </c:strRef>
          </c:cat>
          <c:val>
            <c:numRef>
              <c:f>'PESSOAS - TABULAÇÃO'!$C$12:$N$12</c:f>
              <c:numCache/>
            </c:numRef>
          </c:val>
        </c:ser>
        <c:axId val="1526164775"/>
        <c:axId val="263624938"/>
      </c:barChart>
      <c:catAx>
        <c:axId val="1526164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624938"/>
      </c:catAx>
      <c:valAx>
        <c:axId val="2636249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1647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- Entre 16 a 17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TABULAÇÃO'!$B$13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TABULAÇÃO'!$C$8:$N$8</c:f>
            </c:strRef>
          </c:cat>
          <c:val>
            <c:numRef>
              <c:f>'PESSOAS - TABULAÇÃO'!$C$13:$N$13</c:f>
              <c:numCache/>
            </c:numRef>
          </c:val>
        </c:ser>
        <c:axId val="2064100718"/>
        <c:axId val="1731630160"/>
      </c:barChart>
      <c:catAx>
        <c:axId val="20641007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630160"/>
      </c:catAx>
      <c:valAx>
        <c:axId val="1731630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41007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- Entre 25 a 34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TABULAÇÃO'!$B$14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TABULAÇÃO'!$C$8:$N$8</c:f>
            </c:strRef>
          </c:cat>
          <c:val>
            <c:numRef>
              <c:f>'PESSOAS - TABULAÇÃO'!$C$14:$N$14</c:f>
              <c:numCache/>
            </c:numRef>
          </c:val>
        </c:ser>
        <c:axId val="301285895"/>
        <c:axId val="625970488"/>
      </c:barChart>
      <c:catAx>
        <c:axId val="301285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970488"/>
      </c:catAx>
      <c:valAx>
        <c:axId val="625970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12858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- Entre 35 a 39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TABULAÇÃO'!$B$15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TABULAÇÃO'!$C$8:$N$8</c:f>
            </c:strRef>
          </c:cat>
          <c:val>
            <c:numRef>
              <c:f>'PESSOAS - TABULAÇÃO'!$C$15:$N$15</c:f>
              <c:numCache/>
            </c:numRef>
          </c:val>
        </c:ser>
        <c:axId val="391157819"/>
        <c:axId val="1636026647"/>
      </c:barChart>
      <c:catAx>
        <c:axId val="391157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6026647"/>
      </c:catAx>
      <c:valAx>
        <c:axId val="1636026647"/>
        <c:scaling>
          <c:orientation val="minMax"/>
          <c:max val="15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11578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- Entre 35 a 39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TABULAÇÃO'!$B$16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TABULAÇÃO'!$C$8:$N$8</c:f>
            </c:strRef>
          </c:cat>
          <c:val>
            <c:numRef>
              <c:f>'PESSOAS - TABULAÇÃO'!$C$16:$N$16</c:f>
              <c:numCache/>
            </c:numRef>
          </c:val>
        </c:ser>
        <c:axId val="953388018"/>
        <c:axId val="666381104"/>
      </c:barChart>
      <c:catAx>
        <c:axId val="953388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6381104"/>
      </c:catAx>
      <c:valAx>
        <c:axId val="666381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3880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- Entre 35 a 39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TABULAÇÃO'!$B$17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TABULAÇÃO'!$C$8:$N$8</c:f>
            </c:strRef>
          </c:cat>
          <c:val>
            <c:numRef>
              <c:f>'PESSOAS - TABULAÇÃO'!$C$17:$N$17</c:f>
              <c:numCache/>
            </c:numRef>
          </c:val>
        </c:ser>
        <c:axId val="1393177991"/>
        <c:axId val="529604828"/>
      </c:barChart>
      <c:catAx>
        <c:axId val="1393177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9604828"/>
      </c:catAx>
      <c:valAx>
        <c:axId val="529604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1779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- Entre 50 a 54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TABULAÇÃO'!$B$18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TABULAÇÃO'!$C$8:$N$8</c:f>
            </c:strRef>
          </c:cat>
          <c:val>
            <c:numRef>
              <c:f>'PESSOAS - TABULAÇÃO'!$C$18:$N$18</c:f>
              <c:numCache/>
            </c:numRef>
          </c:val>
        </c:ser>
        <c:axId val="1537556474"/>
        <c:axId val="1798472951"/>
      </c:barChart>
      <c:catAx>
        <c:axId val="15375564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8472951"/>
      </c:catAx>
      <c:valAx>
        <c:axId val="1798472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75564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- Entre 55 a 59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TABULAÇÃO'!$C$8:$N$8</c:f>
            </c:strRef>
          </c:cat>
          <c:val>
            <c:numRef>
              <c:f>'PESSOAS - TABULAÇÃO'!$C$19:$N$19</c:f>
              <c:numCache/>
            </c:numRef>
          </c:val>
        </c:ser>
        <c:axId val="501888822"/>
        <c:axId val="1446313835"/>
      </c:barChart>
      <c:catAx>
        <c:axId val="501888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313835"/>
      </c:catAx>
      <c:valAx>
        <c:axId val="1446313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18888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- Entre 60 a 64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TABULAÇÃO'!$B$20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TABULAÇÃO'!$C$8:$N$8</c:f>
            </c:strRef>
          </c:cat>
          <c:val>
            <c:numRef>
              <c:f>'PESSOAS - TABULAÇÃO'!$C$20:$N$20</c:f>
              <c:numCache/>
            </c:numRef>
          </c:val>
        </c:ser>
        <c:axId val="144581496"/>
        <c:axId val="512027700"/>
      </c:barChart>
      <c:catAx>
        <c:axId val="144581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2027700"/>
      </c:catAx>
      <c:valAx>
        <c:axId val="512027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814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- Acima de 65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TABULAÇÃO'!$B$21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TABULAÇÃO'!$C$8:$N$8</c:f>
            </c:strRef>
          </c:cat>
          <c:val>
            <c:numRef>
              <c:f>'PESSOAS - TABULAÇÃO'!$C$21:$N$21</c:f>
              <c:numCache/>
            </c:numRef>
          </c:val>
        </c:ser>
        <c:axId val="2050323334"/>
        <c:axId val="717569239"/>
      </c:barChart>
      <c:catAx>
        <c:axId val="2050323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569239"/>
      </c:catAx>
      <c:valAx>
        <c:axId val="717569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3233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Total/Km² - Entre 0 e 4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TABULAÇÃO'!$C$26:$N$26</c:f>
            </c:strRef>
          </c:cat>
          <c:val>
            <c:numRef>
              <c:f>'PESSOAS - TABULAÇÃO'!$C$27:$N$27</c:f>
              <c:numCache/>
            </c:numRef>
          </c:val>
        </c:ser>
        <c:axId val="997717625"/>
        <c:axId val="1821798725"/>
      </c:barChart>
      <c:catAx>
        <c:axId val="997717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798725"/>
      </c:catAx>
      <c:valAx>
        <c:axId val="1821798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77176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Total/Km² - Entre 5 a 6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TABULAÇÃO'!$B$28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TABULAÇÃO'!$C$26:$N$26</c:f>
            </c:strRef>
          </c:cat>
          <c:val>
            <c:numRef>
              <c:f>'PESSOAS - TABULAÇÃO'!$C$28:$N$28</c:f>
              <c:numCache/>
            </c:numRef>
          </c:val>
        </c:ser>
        <c:axId val="1118167943"/>
        <c:axId val="1850624810"/>
      </c:barChart>
      <c:catAx>
        <c:axId val="1118167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0624810"/>
      </c:catAx>
      <c:valAx>
        <c:axId val="18506248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81679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Total/Km² - Entre 5 a 6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TABULAÇÃO'!$B$29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TABULAÇÃO'!$C$26:$N$26</c:f>
            </c:strRef>
          </c:cat>
          <c:val>
            <c:numRef>
              <c:f>'PESSOAS - TABULAÇÃO'!$C$29:$N$29</c:f>
              <c:numCache/>
            </c:numRef>
          </c:val>
        </c:ser>
        <c:axId val="1030602587"/>
        <c:axId val="1828125930"/>
      </c:barChart>
      <c:catAx>
        <c:axId val="1030602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8125930"/>
      </c:catAx>
      <c:valAx>
        <c:axId val="1828125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06025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Total/Km² - Entre 16 a 17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TABULAÇÃO'!$B$30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TABULAÇÃO'!$C$26:$N$26</c:f>
            </c:strRef>
          </c:cat>
          <c:val>
            <c:numRef>
              <c:f>'PESSOAS - TABULAÇÃO'!$C$30:$N$30</c:f>
              <c:numCache/>
            </c:numRef>
          </c:val>
        </c:ser>
        <c:axId val="983060318"/>
        <c:axId val="575403390"/>
      </c:barChart>
      <c:catAx>
        <c:axId val="983060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5403390"/>
      </c:catAx>
      <c:valAx>
        <c:axId val="5754033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30603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Total/Km² - Entre 5 a 6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TABULAÇÃO'!$B$31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TABULAÇÃO'!$C$26:$N$26</c:f>
            </c:strRef>
          </c:cat>
          <c:val>
            <c:numRef>
              <c:f>'PESSOAS - TABULAÇÃO'!$C$31:$N$31</c:f>
              <c:numCache/>
            </c:numRef>
          </c:val>
        </c:ser>
        <c:axId val="1097781234"/>
        <c:axId val="1607988390"/>
      </c:barChart>
      <c:catAx>
        <c:axId val="1097781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988390"/>
      </c:catAx>
      <c:valAx>
        <c:axId val="16079883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77812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Total/Km² - Entre 25 a 34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TABULAÇÃO'!$B$32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TABULAÇÃO'!$C$26:$N$26</c:f>
            </c:strRef>
          </c:cat>
          <c:val>
            <c:numRef>
              <c:f>'PESSOAS - TABULAÇÃO'!$C$32:$N$32</c:f>
              <c:numCache/>
            </c:numRef>
          </c:val>
        </c:ser>
        <c:axId val="1817978684"/>
        <c:axId val="266211888"/>
      </c:barChart>
      <c:catAx>
        <c:axId val="1817978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6211888"/>
      </c:catAx>
      <c:valAx>
        <c:axId val="266211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9786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Total/Km² - Entre 35 a 39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TABULAÇÃO'!$B$33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TABULAÇÃO'!$C$26:$N$26</c:f>
            </c:strRef>
          </c:cat>
          <c:val>
            <c:numRef>
              <c:f>'PESSOAS - TABULAÇÃO'!$C$33:$N$33</c:f>
              <c:numCache/>
            </c:numRef>
          </c:val>
        </c:ser>
        <c:axId val="1703159115"/>
        <c:axId val="2066833145"/>
      </c:barChart>
      <c:catAx>
        <c:axId val="1703159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6833145"/>
      </c:catAx>
      <c:valAx>
        <c:axId val="2066833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1591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Total/Km² - Entre 40 a 44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TABULAÇÃO'!$B$34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TABULAÇÃO'!$C$26:$N$26</c:f>
            </c:strRef>
          </c:cat>
          <c:val>
            <c:numRef>
              <c:f>'PESSOAS - TABULAÇÃO'!$C$34:$N$34</c:f>
              <c:numCache/>
            </c:numRef>
          </c:val>
        </c:ser>
        <c:axId val="675340176"/>
        <c:axId val="937636885"/>
      </c:barChart>
      <c:catAx>
        <c:axId val="675340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7636885"/>
      </c:catAx>
      <c:valAx>
        <c:axId val="9376368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53401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Total/Km² - Entre 45 a 49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TABULAÇÃO'!$B$35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TABULAÇÃO'!$C$26:$N$26</c:f>
            </c:strRef>
          </c:cat>
          <c:val>
            <c:numRef>
              <c:f>'PESSOAS - TABULAÇÃO'!$C$35:$N$35</c:f>
              <c:numCache/>
            </c:numRef>
          </c:val>
        </c:ser>
        <c:axId val="1661513298"/>
        <c:axId val="2083744812"/>
      </c:barChart>
      <c:catAx>
        <c:axId val="1661513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744812"/>
      </c:catAx>
      <c:valAx>
        <c:axId val="2083744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15132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Total/Km² - Entre 50 a 54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TABULAÇÃO'!$B$36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TABULAÇÃO'!$C$26:$N$26</c:f>
            </c:strRef>
          </c:cat>
          <c:val>
            <c:numRef>
              <c:f>'PESSOAS - TABULAÇÃO'!$C$36:$N$36</c:f>
              <c:numCache/>
            </c:numRef>
          </c:val>
        </c:ser>
        <c:axId val="366255033"/>
        <c:axId val="407272929"/>
      </c:barChart>
      <c:catAx>
        <c:axId val="366255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7272929"/>
      </c:catAx>
      <c:valAx>
        <c:axId val="4072729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2550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Total/Km² - Entre 55 a 59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TABULAÇÃO'!$B$37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TABULAÇÃO'!$C$26:$N$26</c:f>
            </c:strRef>
          </c:cat>
          <c:val>
            <c:numRef>
              <c:f>'PESSOAS - TABULAÇÃO'!$C$37:$N$37</c:f>
              <c:numCache/>
            </c:numRef>
          </c:val>
        </c:ser>
        <c:axId val="1231554602"/>
        <c:axId val="1786745090"/>
      </c:barChart>
      <c:catAx>
        <c:axId val="1231554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6745090"/>
      </c:catAx>
      <c:valAx>
        <c:axId val="17867450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15546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Total/Km² - Entre 60 a 64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TABULAÇÃO'!$B$38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TABULAÇÃO'!$C$26:$N$26</c:f>
            </c:strRef>
          </c:cat>
          <c:val>
            <c:numRef>
              <c:f>'PESSOAS - TABULAÇÃO'!$C$38:$N$38</c:f>
              <c:numCache/>
            </c:numRef>
          </c:val>
        </c:ser>
        <c:axId val="494672365"/>
        <c:axId val="190225371"/>
      </c:barChart>
      <c:catAx>
        <c:axId val="494672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225371"/>
      </c:catAx>
      <c:valAx>
        <c:axId val="190225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46723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Total/Km² - Maior que 65 anos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TABULAÇÃO'!$B$38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TABULAÇÃO'!$C$26:$N$26</c:f>
            </c:strRef>
          </c:cat>
          <c:val>
            <c:numRef>
              <c:f>'PESSOAS - TABULAÇÃO'!$C$38:$N$38</c:f>
              <c:numCache/>
            </c:numRef>
          </c:val>
        </c:ser>
        <c:axId val="839960889"/>
        <c:axId val="1302381025"/>
      </c:barChart>
      <c:catAx>
        <c:axId val="839960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2381025"/>
      </c:catAx>
      <c:valAx>
        <c:axId val="13023810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99608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chemeClr val="dk1"/>
                </a:solidFill>
                <a:latin typeface="+mn-lt"/>
              </a:defRPr>
            </a:pPr>
            <a:r>
              <a:rPr b="1" sz="1800">
                <a:solidFill>
                  <a:schemeClr val="dk1"/>
                </a:solidFill>
                <a:latin typeface="+mn-lt"/>
              </a:rPr>
              <a:t>Raça / Cor - Sorocaba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'PESSOAS - TABULAÇÃO'!$B$56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TABULAÇÃO'!$C$43:$F$43</c:f>
            </c:strRef>
          </c:cat>
          <c:val>
            <c:numRef>
              <c:f>'PESSOAS - TABULAÇÃO'!$C$56:$F$56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6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Total Percentual Sexo - Sorocaba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TABULAÇÃO'!$C$60:$D$60</c:f>
            </c:strRef>
          </c:cat>
          <c:val>
            <c:numRef>
              <c:f>'PESSOAS - TABULAÇÃO'!$C$61:$D$61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Local de Nascimento - Sorocaba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TABULAÇÃO'!$F$60:$I$60</c:f>
            </c:strRef>
          </c:cat>
          <c:val>
            <c:numRef>
              <c:f>'PESSOAS - TABULAÇÃO'!$F$61:$I$61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Quantidade de Deficientes - Sorocaba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TABULAÇÃO'!$K$59:$K$60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TABULAÇÃO'!$B$61:$B$72</c:f>
            </c:strRef>
          </c:cat>
          <c:val>
            <c:numRef>
              <c:f>'PESSOAS - TABULAÇÃO'!$K$61:$K$72</c:f>
              <c:numCache/>
            </c:numRef>
          </c:val>
        </c:ser>
        <c:axId val="927955442"/>
        <c:axId val="1952369681"/>
      </c:barChart>
      <c:catAx>
        <c:axId val="927955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2369681"/>
      </c:catAx>
      <c:valAx>
        <c:axId val="1952369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9554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Percentual total de deficientes km² por Unidade</a:t>
            </a:r>
          </a:p>
        </c:rich>
      </c:tx>
      <c:overlay val="0"/>
    </c:title>
    <c:plotArea>
      <c:layout>
        <c:manualLayout>
          <c:xMode val="edge"/>
          <c:yMode val="edge"/>
          <c:x val="0.009420289855072464"/>
          <c:y val="0.17154471544715447"/>
          <c:w val="0.981159420289855"/>
          <c:h val="0.6861788617886179"/>
        </c:manualLayout>
      </c:layout>
      <c:pieChart>
        <c:varyColors val="1"/>
        <c:ser>
          <c:idx val="0"/>
          <c:order val="0"/>
          <c:tx>
            <c:strRef>
              <c:f>'PESSOAS - TABULAÇÃO'!$L$59:$L$60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TABULAÇÃO'!$B$61:$B$72</c:f>
            </c:strRef>
          </c:cat>
          <c:val>
            <c:numRef>
              <c:f>'PESSOAS - TABULAÇÃO'!$L$61:$L$72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Tipo de Deficiência - Geral</a:t>
            </a:r>
          </a:p>
        </c:rich>
      </c:tx>
      <c:overlay val="0"/>
    </c:title>
    <c:plotArea>
      <c:layout>
        <c:manualLayout>
          <c:xMode val="edge"/>
          <c:yMode val="edge"/>
          <c:x val="0.014400139138691771"/>
          <c:y val="0.15236476066793697"/>
          <c:w val="0.975985584000547"/>
          <c:h val="0.6608322653543679"/>
        </c:manualLayout>
      </c:layout>
      <c:pieChart>
        <c:varyColors val="1"/>
        <c:ser>
          <c:idx val="0"/>
          <c:order val="0"/>
          <c:tx>
            <c:strRef>
              <c:f>'PESSOAS - TABULAÇÃO'!$B$89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TABULAÇÃO'!$C$76:$J$76</c:f>
            </c:strRef>
          </c:cat>
          <c:val>
            <c:numRef>
              <c:f>'PESSOAS - TABULAÇÃO'!$C$89:$J$89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Ana Paula Eleuterio - Qtde de deficiência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'PESSOAS - TABULAÇÃO'!$B$77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TABULAÇÃO'!$C$76:$J$76</c:f>
            </c:strRef>
          </c:cat>
          <c:val>
            <c:numRef>
              <c:f>'PESSOAS - TABULAÇÃO'!$C$77:$J$77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Aparecidinha - Qtde de deficiência</a:t>
            </a:r>
          </a:p>
        </c:rich>
      </c:tx>
      <c:overlay val="0"/>
    </c:title>
    <c:plotArea>
      <c:layout>
        <c:manualLayout>
          <c:xMode val="edge"/>
          <c:yMode val="edge"/>
          <c:x val="0.0040650406504065045"/>
          <c:y val="0.12474120082815734"/>
          <c:w val="0.9788617886178862"/>
          <c:h val="0.7976190476190477"/>
        </c:manualLayout>
      </c:layout>
      <c:pieChart>
        <c:varyColors val="1"/>
        <c:ser>
          <c:idx val="0"/>
          <c:order val="0"/>
          <c:tx>
            <c:strRef>
              <c:f>'PESSOAS - TABULAÇÃO'!$B$78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TABULAÇÃO'!$C$76:$J$76</c:f>
            </c:strRef>
          </c:cat>
          <c:val>
            <c:numRef>
              <c:f>'PESSOAS - TABULAÇÃO'!$C$78:$J$78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Brigadeiro Tobias - Qtde de deficiência</a:t>
            </a:r>
          </a:p>
        </c:rich>
      </c:tx>
      <c:overlay val="0"/>
    </c:title>
    <c:plotArea>
      <c:layout>
        <c:manualLayout>
          <c:xMode val="edge"/>
          <c:yMode val="edge"/>
          <c:x val="0.02770880361173816"/>
          <c:y val="0.12406653088934153"/>
          <c:w val="0.9412528216704289"/>
          <c:h val="0.8259334691106585"/>
        </c:manualLayout>
      </c:layout>
      <c:pieChart>
        <c:varyColors val="1"/>
        <c:ser>
          <c:idx val="0"/>
          <c:order val="0"/>
          <c:tx>
            <c:strRef>
              <c:f>'PESSOAS - TABULAÇÃO'!$B$79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TABULAÇÃO'!$C$76:$J$76</c:f>
            </c:strRef>
          </c:cat>
          <c:val>
            <c:numRef>
              <c:f>'PESSOAS - TABULAÇÃO'!$C$79:$J$79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Cajuru - Qtde de deficiência</a:t>
            </a:r>
          </a:p>
        </c:rich>
      </c:tx>
      <c:overlay val="0"/>
    </c:title>
    <c:plotArea>
      <c:layout>
        <c:manualLayout>
          <c:xMode val="edge"/>
          <c:yMode val="edge"/>
          <c:x val="0.005691056910569106"/>
          <c:y val="0.13712557461159017"/>
          <c:w val="0.9886178861788618"/>
          <c:h val="0.79418323127413"/>
        </c:manualLayout>
      </c:layout>
      <c:pieChart>
        <c:varyColors val="1"/>
        <c:ser>
          <c:idx val="0"/>
          <c:order val="0"/>
          <c:tx>
            <c:strRef>
              <c:f>'PESSOAS - TABULAÇÃO'!$B$80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TABULAÇÃO'!$C$76:$J$76</c:f>
            </c:strRef>
          </c:cat>
          <c:val>
            <c:numRef>
              <c:f>'PESSOAS - TABULAÇÃO'!$C$80:$J$80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Caranda - Qtde de deficiência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'PESSOAS - TABULAÇÃO'!$B$81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TABULAÇÃO'!$C$76:$J$76</c:f>
            </c:strRef>
          </c:cat>
          <c:val>
            <c:numRef>
              <c:f>'PESSOAS - TABULAÇÃO'!$C$81:$J$81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Ipiranga - Qtde de deficiência</a:t>
            </a:r>
          </a:p>
        </c:rich>
      </c:tx>
      <c:overlay val="0"/>
    </c:title>
    <c:plotArea>
      <c:layout>
        <c:manualLayout>
          <c:xMode val="edge"/>
          <c:yMode val="edge"/>
          <c:x val="8.130081300813008E-4"/>
          <c:y val="0.14262481241290606"/>
          <c:w val="0.991869918699187"/>
          <c:h val="0.7951552283202917"/>
        </c:manualLayout>
      </c:layout>
      <c:pieChart>
        <c:varyColors val="1"/>
        <c:ser>
          <c:idx val="0"/>
          <c:order val="0"/>
          <c:tx>
            <c:strRef>
              <c:f>'PESSOAS - TABULAÇÃO'!$B$82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TABULAÇÃO'!$C$76:$J$76</c:f>
            </c:strRef>
          </c:cat>
          <c:val>
            <c:numRef>
              <c:f>'PESSOAS - TABULAÇÃO'!$C$82:$J$82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Laranjeiras - Qtde de deficiência</a:t>
            </a:r>
          </a:p>
        </c:rich>
      </c:tx>
      <c:overlay val="0"/>
    </c:title>
    <c:plotArea>
      <c:layout>
        <c:manualLayout>
          <c:xMode val="edge"/>
          <c:yMode val="edge"/>
          <c:x val="0.0024390243902439024"/>
          <c:y val="0.1395112016293279"/>
          <c:w val="0.9975609756097561"/>
          <c:h val="0.8043788187372707"/>
        </c:manualLayout>
      </c:layout>
      <c:pieChart>
        <c:varyColors val="1"/>
        <c:ser>
          <c:idx val="0"/>
          <c:order val="0"/>
          <c:tx>
            <c:strRef>
              <c:f>'PESSOAS - TABULAÇÃO'!$B$83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TABULAÇÃO'!$C$76:$J$76</c:f>
            </c:strRef>
          </c:cat>
          <c:val>
            <c:numRef>
              <c:f>'PESSOAS - TABULAÇÃO'!$C$83:$J$83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Nova Esperança - Qtde de deficiência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'PESSOAS - TABULAÇÃO'!$B$84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TABULAÇÃO'!$C$76:$J$76</c:f>
            </c:strRef>
          </c:cat>
          <c:val>
            <c:numRef>
              <c:f>'PESSOAS - TABULAÇÃO'!$C$84:$J$84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São Bento - Qtde de deficiência</a:t>
            </a:r>
          </a:p>
        </c:rich>
      </c:tx>
      <c:overlay val="0"/>
    </c:title>
    <c:plotArea>
      <c:layout>
        <c:manualLayout>
          <c:xMode val="edge"/>
          <c:yMode val="edge"/>
          <c:x val="0.0024390243902439024"/>
          <c:y val="0.13725259804689538"/>
          <c:w val="0.9951219512195122"/>
          <c:h val="0.7924826361689905"/>
        </c:manualLayout>
      </c:layout>
      <c:pieChart>
        <c:varyColors val="1"/>
        <c:ser>
          <c:idx val="0"/>
          <c:order val="0"/>
          <c:tx>
            <c:strRef>
              <c:f>'PESSOAS - TABULAÇÃO'!$B$85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TABULAÇÃO'!$C$76:$J$76</c:f>
            </c:strRef>
          </c:cat>
          <c:val>
            <c:numRef>
              <c:f>'PESSOAS - TABULAÇÃO'!$C$85:$J$85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Vila Helena - Qtde de deficiência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'PESSOAS - TABULAÇÃO'!$B$87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TABULAÇÃO'!$C$76:$J$76</c:f>
            </c:strRef>
          </c:cat>
          <c:val>
            <c:numRef>
              <c:f>'PESSOAS - TABULAÇÃO'!$C$87:$J$87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Vitória Régia - Qtde de deficiência</a:t>
            </a:r>
          </a:p>
        </c:rich>
      </c:tx>
      <c:overlay val="0"/>
    </c:title>
    <c:plotArea>
      <c:layout>
        <c:manualLayout>
          <c:xMode val="edge"/>
          <c:yMode val="edge"/>
          <c:x val="0.0024390243902439024"/>
          <c:y val="0.14917937285554403"/>
          <c:w val="0.9967479674796748"/>
          <c:h val="0.8008206271444561"/>
        </c:manualLayout>
      </c:layout>
      <c:pieChart>
        <c:varyColors val="1"/>
        <c:ser>
          <c:idx val="0"/>
          <c:order val="0"/>
          <c:tx>
            <c:strRef>
              <c:f>'PESSOAS - TABULAÇÃO'!$B$88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TABULAÇÃO'!$C$76:$J$76</c:f>
            </c:strRef>
          </c:cat>
          <c:val>
            <c:numRef>
              <c:f>'PESSOAS - TABULAÇÃO'!$C$88:$J$88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Percentual total por faixa etária - Sorocaba</a:t>
            </a:r>
          </a:p>
        </c:rich>
      </c:tx>
      <c:overlay val="0"/>
    </c:title>
    <c:plotArea>
      <c:layout>
        <c:manualLayout>
          <c:xMode val="edge"/>
          <c:yMode val="edge"/>
          <c:x val="0.017160014356048758"/>
          <c:y val="0.15520446096654275"/>
          <c:w val="0.968344498971422"/>
          <c:h val="0.6591078066914499"/>
        </c:manualLayout>
      </c:layout>
      <c:pieChart>
        <c:varyColors val="1"/>
        <c:ser>
          <c:idx val="0"/>
          <c:order val="0"/>
          <c:tx>
            <c:strRef>
              <c:f>'PESSOAS - TABULAÇÃO'!$O$7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TABULAÇÃO'!$B$8:$B$21</c:f>
            </c:strRef>
          </c:cat>
          <c:val>
            <c:numRef>
              <c:f>'PESSOAS - TABULAÇÃO'!$O$8:$O$22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Indicação se frequenta escola - Sorocaba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TABULAÇÃO'!$C$92:$F$92</c:f>
            </c:strRef>
          </c:cat>
          <c:val>
            <c:numRef>
              <c:f>'PESSOAS - TABULAÇÃO'!$C$93:$F$93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Sabe ler/escrever - Acima de 18 anos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TABULAÇÃO'!$J$92:$K$92</c:f>
            </c:strRef>
          </c:cat>
          <c:val>
            <c:numRef>
              <c:f>'PESSOAS - TABULAÇÃO'!$J$93:$K$93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Aparecidinha - Curso mais elevado que frequentou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TABULAÇÃO'!$B$111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TABULAÇÃO'!$C$109:$P$109</c:f>
            </c:strRef>
          </c:cat>
          <c:val>
            <c:numRef>
              <c:f>'PESSOAS - TABULAÇÃO'!$C$111:$P$111</c:f>
              <c:numCache/>
            </c:numRef>
          </c:val>
        </c:ser>
        <c:axId val="1626308613"/>
        <c:axId val="470053769"/>
      </c:barChart>
      <c:catAx>
        <c:axId val="16263086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053769"/>
      </c:catAx>
      <c:valAx>
        <c:axId val="4700537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Aparecidinha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63086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Ana Paula Eleutério - Curso mais elevado que frequentou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TABULAÇÃO'!$B$110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TABULAÇÃO'!$C$109:$P$109</c:f>
            </c:strRef>
          </c:cat>
          <c:val>
            <c:numRef>
              <c:f>'PESSOAS - TABULAÇÃO'!$C$110:$P$110</c:f>
              <c:numCache/>
            </c:numRef>
          </c:val>
        </c:ser>
        <c:axId val="1144599592"/>
        <c:axId val="1074827191"/>
      </c:barChart>
      <c:catAx>
        <c:axId val="11445995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4827191"/>
      </c:catAx>
      <c:valAx>
        <c:axId val="10748271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Ana Paula Eleuterio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45995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Brigadeiro Tobias - Curso mais elevado que frequentou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TABULAÇÃO'!$C$109:$P$109</c:f>
            </c:strRef>
          </c:cat>
          <c:val>
            <c:numRef>
              <c:f>'PESSOAS - TABULAÇÃO'!$C$112:$P$112</c:f>
              <c:numCache/>
            </c:numRef>
          </c:val>
        </c:ser>
        <c:axId val="1205592093"/>
        <c:axId val="574857656"/>
      </c:barChart>
      <c:catAx>
        <c:axId val="12055920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4857656"/>
      </c:catAx>
      <c:valAx>
        <c:axId val="5748576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Brigadeiro Tobias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559209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Cajuru - Curso mais elevado que frequentou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TABULAÇÃO'!$B$113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TABULAÇÃO'!$C$109:$P$109</c:f>
            </c:strRef>
          </c:cat>
          <c:val>
            <c:numRef>
              <c:f>'PESSOAS - TABULAÇÃO'!$C$113:$P$113</c:f>
              <c:numCache/>
            </c:numRef>
          </c:val>
        </c:ser>
        <c:axId val="1241024737"/>
        <c:axId val="577357388"/>
      </c:barChart>
      <c:catAx>
        <c:axId val="12410247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7357388"/>
      </c:catAx>
      <c:valAx>
        <c:axId val="5773573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Cajuru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102473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Caranda - Curso mais elevado que frequentou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TABULAÇÃO'!$B$114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TABULAÇÃO'!$C$109:$P$109</c:f>
            </c:strRef>
          </c:cat>
          <c:val>
            <c:numRef>
              <c:f>'PESSOAS - TABULAÇÃO'!$C$114:$P$114</c:f>
              <c:numCache/>
            </c:numRef>
          </c:val>
        </c:ser>
        <c:axId val="216817660"/>
        <c:axId val="1843501139"/>
      </c:barChart>
      <c:catAx>
        <c:axId val="2168176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501139"/>
      </c:catAx>
      <c:valAx>
        <c:axId val="18435011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Aparecidinha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681766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Ipiranga - Curso mais elevado que frequentou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TABULAÇÃO'!$B$115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TABULAÇÃO'!$C$109:$P$109</c:f>
            </c:strRef>
          </c:cat>
          <c:val>
            <c:numRef>
              <c:f>'PESSOAS - TABULAÇÃO'!$C$115:$P$115</c:f>
              <c:numCache/>
            </c:numRef>
          </c:val>
        </c:ser>
        <c:axId val="377856981"/>
        <c:axId val="758556282"/>
      </c:barChart>
      <c:catAx>
        <c:axId val="3778569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556282"/>
      </c:catAx>
      <c:valAx>
        <c:axId val="7585562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Aparecidinha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785698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Joao Romao - Curso mais elevado que frequentou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TABULAÇÃO'!$B$109</c:f>
            </c:strRef>
          </c:tx>
          <c:invertIfNegative val="0"/>
          <c:cat>
            <c:strRef>
              <c:f>'PESSOAS - TABULAÇÃO'!$C$109:$P$109</c:f>
            </c:strRef>
          </c:cat>
          <c:val>
            <c:numRef>
              <c:f>'PESSOAS - TABULAÇÃO'!$C$109:$P$109</c:f>
              <c:numCache/>
            </c:numRef>
          </c:val>
        </c:ser>
        <c:axId val="1644252907"/>
        <c:axId val="1196815681"/>
      </c:barChart>
      <c:catAx>
        <c:axId val="16442529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6815681"/>
      </c:catAx>
      <c:valAx>
        <c:axId val="1196815681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64425290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Laranjeiras - Curso mais elevado que frequentou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TABULAÇÃO'!$B$116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TABULAÇÃO'!$C$109:$P$109</c:f>
            </c:strRef>
          </c:cat>
          <c:val>
            <c:numRef>
              <c:f>'PESSOAS - TABULAÇÃO'!$C$116:$P$116</c:f>
              <c:numCache/>
            </c:numRef>
          </c:val>
        </c:ser>
        <c:axId val="2093269238"/>
        <c:axId val="1277479445"/>
      </c:barChart>
      <c:catAx>
        <c:axId val="20932692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479445"/>
      </c:catAx>
      <c:valAx>
        <c:axId val="12774794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Aparecidinha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326923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Nova Esperança - Curso mais elevado que frequentou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TABULAÇÃO'!$B$117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TABULAÇÃO'!$C$109:$P$109</c:f>
            </c:strRef>
          </c:cat>
          <c:val>
            <c:numRef>
              <c:f>'PESSOAS - TABULAÇÃO'!$C$117:$P$117</c:f>
              <c:numCache/>
            </c:numRef>
          </c:val>
        </c:ser>
        <c:axId val="812941893"/>
        <c:axId val="670868741"/>
      </c:barChart>
      <c:catAx>
        <c:axId val="8129418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0868741"/>
      </c:catAx>
      <c:valAx>
        <c:axId val="6708687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Aparecidinha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94189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São Bento - Curso mais elevado que frequentou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'PESSOAS - TABULAÇÃO'!$B$118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TABULAÇÃO'!$C$109:$P$109</c:f>
            </c:strRef>
          </c:cat>
          <c:val>
            <c:numRef>
              <c:f>'PESSOAS - TABULAÇÃO'!$C$118:$P$118</c:f>
              <c:numCache/>
            </c:numRef>
          </c:val>
        </c:ser>
        <c:ser>
          <c:idx val="1"/>
          <c:order val="1"/>
          <c:tx>
            <c:strRef>
              <c:f>'PESSOAS - TABULAÇÃO'!$B$119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'PESSOAS - TABULAÇÃO'!$C$109:$P$109</c:f>
            </c:strRef>
          </c:cat>
          <c:val>
            <c:numRef>
              <c:f>'PESSOAS - TABULAÇÃO'!$C$119:$P$119</c:f>
              <c:numCache/>
            </c:numRef>
          </c:val>
        </c:ser>
        <c:axId val="1083106078"/>
        <c:axId val="218692701"/>
      </c:barChart>
      <c:catAx>
        <c:axId val="10831060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692701"/>
      </c:catAx>
      <c:valAx>
        <c:axId val="2186927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Aparecidinha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310607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Vila Helena - Curso mais elevado que frequentou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TABULAÇÃO'!$B$120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TABULAÇÃO'!$C$109:$P$109</c:f>
            </c:strRef>
          </c:cat>
          <c:val>
            <c:numRef>
              <c:f>'PESSOAS - TABULAÇÃO'!$C$120:$P$120</c:f>
              <c:numCache/>
            </c:numRef>
          </c:val>
        </c:ser>
        <c:axId val="1482923229"/>
        <c:axId val="1043808056"/>
      </c:barChart>
      <c:catAx>
        <c:axId val="14829232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808056"/>
      </c:catAx>
      <c:valAx>
        <c:axId val="10438080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Aparecidinha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292322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Vitória Régia - Curso mais elevado que frequentou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TABULAÇÃO'!$B$121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TABULAÇÃO'!$C$109:$P$109</c:f>
            </c:strRef>
          </c:cat>
          <c:val>
            <c:numRef>
              <c:f>'PESSOAS - TABULAÇÃO'!$C$121:$P$121</c:f>
              <c:numCache/>
            </c:numRef>
          </c:val>
        </c:ser>
        <c:axId val="565055058"/>
        <c:axId val="239923928"/>
      </c:barChart>
      <c:catAx>
        <c:axId val="5650550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9923928"/>
      </c:catAx>
      <c:valAx>
        <c:axId val="2399239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Aparecidinha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50550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Percentual total - Curso mais elevado que frequentou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'PESSOAS - TABULAÇÃO'!$B$122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TABULAÇÃO'!$C$109:$P$109</c:f>
            </c:strRef>
          </c:cat>
          <c:val>
            <c:numRef>
              <c:f>'PESSOAS - TABULAÇÃO'!$C$122:$P$122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Ana Paula Eleutério - Curso que frequenta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TABULAÇÃO'!$C$126:$P$126</c:f>
            </c:strRef>
          </c:cat>
          <c:val>
            <c:numRef>
              <c:f>'PESSOAS - TABULAÇÃO'!$C$127:$P$127</c:f>
              <c:numCache/>
            </c:numRef>
          </c:val>
        </c:ser>
        <c:axId val="1746590362"/>
        <c:axId val="1478470411"/>
      </c:barChart>
      <c:catAx>
        <c:axId val="17465903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8470411"/>
      </c:catAx>
      <c:valAx>
        <c:axId val="14784704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5903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Aparecidinha - Curso que frequenta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TABULAÇÃO'!$B$128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TABULAÇÃO'!$C$126:$P$126</c:f>
            </c:strRef>
          </c:cat>
          <c:val>
            <c:numRef>
              <c:f>'PESSOAS - TABULAÇÃO'!$C$128:$P$128</c:f>
              <c:numCache/>
            </c:numRef>
          </c:val>
        </c:ser>
        <c:axId val="822365859"/>
        <c:axId val="1196064096"/>
      </c:barChart>
      <c:catAx>
        <c:axId val="8223658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6064096"/>
      </c:catAx>
      <c:valAx>
        <c:axId val="11960640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236585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Cajuru - Curso que frequenta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TABULAÇÃO'!$B$130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TABULAÇÃO'!$C$126:$P$126</c:f>
            </c:strRef>
          </c:cat>
          <c:val>
            <c:numRef>
              <c:f>'PESSOAS - TABULAÇÃO'!$C$130:$P$130</c:f>
              <c:numCache/>
            </c:numRef>
          </c:val>
        </c:ser>
        <c:axId val="2034871530"/>
        <c:axId val="71013883"/>
      </c:barChart>
      <c:catAx>
        <c:axId val="20348715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13883"/>
      </c:catAx>
      <c:valAx>
        <c:axId val="710138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487153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Brigadeiro Tobias	 - Curso que frequenta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TABULAÇÃO'!$B$129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TABULAÇÃO'!$C$126:$P$126</c:f>
            </c:strRef>
          </c:cat>
          <c:val>
            <c:numRef>
              <c:f>'PESSOAS - TABULAÇÃO'!$C$129:$P$129</c:f>
              <c:numCache/>
            </c:numRef>
          </c:val>
        </c:ser>
        <c:axId val="662470741"/>
        <c:axId val="1331561608"/>
      </c:barChart>
      <c:catAx>
        <c:axId val="6624707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1561608"/>
      </c:catAx>
      <c:valAx>
        <c:axId val="13315616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4707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Caranda - Curso que frequenta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TABULAÇÃO'!$B$131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TABULAÇÃO'!$C$126:$P$126</c:f>
            </c:strRef>
          </c:cat>
          <c:val>
            <c:numRef>
              <c:f>'PESSOAS - TABULAÇÃO'!$C$131:$P$131</c:f>
              <c:numCache/>
            </c:numRef>
          </c:val>
        </c:ser>
        <c:axId val="283854135"/>
        <c:axId val="562328707"/>
      </c:barChart>
      <c:catAx>
        <c:axId val="2838541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2328707"/>
      </c:catAx>
      <c:valAx>
        <c:axId val="5623287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85413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Ipiranga - Curso que frequenta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TABULAÇÃO'!$B$132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TABULAÇÃO'!$C$126:$P$126</c:f>
            </c:strRef>
          </c:cat>
          <c:val>
            <c:numRef>
              <c:f>'PESSOAS - TABULAÇÃO'!$C$132:$P$132</c:f>
              <c:numCache/>
            </c:numRef>
          </c:val>
        </c:ser>
        <c:axId val="827272425"/>
        <c:axId val="74986857"/>
      </c:barChart>
      <c:catAx>
        <c:axId val="8272724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86857"/>
      </c:catAx>
      <c:valAx>
        <c:axId val="749868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727242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João Romão - Curso que frequenta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TABULAÇÃO'!$B$126</c:f>
            </c:strRef>
          </c:tx>
          <c:invertIfNegative val="0"/>
          <c:cat>
            <c:strRef>
              <c:f>'PESSOAS - TABULAÇÃO'!$C$126:$P$126</c:f>
            </c:strRef>
          </c:cat>
          <c:val>
            <c:numRef>
              <c:f>'PESSOAS - TABULAÇÃO'!$C$126:$P$126</c:f>
              <c:numCache/>
            </c:numRef>
          </c:val>
        </c:ser>
        <c:axId val="268089482"/>
        <c:axId val="1039871927"/>
      </c:barChart>
      <c:catAx>
        <c:axId val="2680894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9871927"/>
      </c:catAx>
      <c:valAx>
        <c:axId val="1039871927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26808948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Laranjeiras - Curso que frequenta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TABULAÇÃO'!$B$133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TABULAÇÃO'!$C$126:$P$126</c:f>
            </c:strRef>
          </c:cat>
          <c:val>
            <c:numRef>
              <c:f>'PESSOAS - TABULAÇÃO'!$C$133:$P$133</c:f>
              <c:numCache/>
            </c:numRef>
          </c:val>
        </c:ser>
        <c:axId val="12167847"/>
        <c:axId val="870807441"/>
      </c:barChart>
      <c:catAx>
        <c:axId val="121678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807441"/>
      </c:catAx>
      <c:valAx>
        <c:axId val="8708074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78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Nova Esperança - Curso que frequenta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TABULAÇÃO'!$B$134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TABULAÇÃO'!$C$126:$P$126</c:f>
            </c:strRef>
          </c:cat>
          <c:val>
            <c:numRef>
              <c:f>'PESSOAS - TABULAÇÃO'!$C$134:$P$134</c:f>
              <c:numCache/>
            </c:numRef>
          </c:val>
        </c:ser>
        <c:axId val="1488033101"/>
        <c:axId val="915385495"/>
      </c:barChart>
      <c:catAx>
        <c:axId val="14880331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385495"/>
      </c:catAx>
      <c:valAx>
        <c:axId val="9153854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80331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São Bento - Curso que frequenta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'PESSOAS - TABULAÇÃO'!$B$135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TABULAÇÃO'!$C$126:$P$126</c:f>
            </c:strRef>
          </c:cat>
          <c:val>
            <c:numRef>
              <c:f>'PESSOAS - TABULAÇÃO'!$C$135:$P$135</c:f>
              <c:numCache/>
            </c:numRef>
          </c:val>
        </c:ser>
        <c:ser>
          <c:idx val="1"/>
          <c:order val="1"/>
          <c:tx>
            <c:strRef>
              <c:f>'PESSOAS - TABULAÇÃO'!$B$136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'PESSOAS - TABULAÇÃO'!$C$126:$P$126</c:f>
            </c:strRef>
          </c:cat>
          <c:val>
            <c:numRef>
              <c:f>'PESSOAS - TABULAÇÃO'!$C$136:$P$136</c:f>
              <c:numCache/>
            </c:numRef>
          </c:val>
        </c:ser>
        <c:axId val="742163364"/>
        <c:axId val="425905418"/>
      </c:barChart>
      <c:catAx>
        <c:axId val="7421633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5905418"/>
      </c:catAx>
      <c:valAx>
        <c:axId val="4259054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216336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Vila Helena - Curso que frequenta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TABULAÇÃO'!$B$137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TABULAÇÃO'!$C$126:$P$126</c:f>
            </c:strRef>
          </c:cat>
          <c:val>
            <c:numRef>
              <c:f>'PESSOAS - TABULAÇÃO'!$C$137:$P$137</c:f>
              <c:numCache/>
            </c:numRef>
          </c:val>
        </c:ser>
        <c:axId val="1857082821"/>
        <c:axId val="298297698"/>
      </c:barChart>
      <c:catAx>
        <c:axId val="18570828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8297698"/>
      </c:catAx>
      <c:valAx>
        <c:axId val="2982976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708282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Vitória Régia - Curso que frequenta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TABULAÇÃO'!$B$138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TABULAÇÃO'!$C$126:$P$126</c:f>
            </c:strRef>
          </c:cat>
          <c:val>
            <c:numRef>
              <c:f>'PESSOAS - TABULAÇÃO'!$C$138:$P$138</c:f>
              <c:numCache/>
            </c:numRef>
          </c:val>
        </c:ser>
        <c:axId val="1230658268"/>
        <c:axId val="932319071"/>
      </c:barChart>
      <c:catAx>
        <c:axId val="12306582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2319071"/>
      </c:catAx>
      <c:valAx>
        <c:axId val="9323190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6582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Percentual total - Curso que frequenta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'PESSOAS - TABULAÇÃO'!$B$139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TABULAÇÃO'!$C$126:$P$126</c:f>
            </c:strRef>
          </c:cat>
          <c:val>
            <c:numRef>
              <c:f>'PESSOAS - TABULAÇÃO'!$C$139:$P$139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chemeClr val="dk1"/>
                </a:solidFill>
                <a:latin typeface="+mn-lt"/>
              </a:defRPr>
            </a:pPr>
            <a:r>
              <a:rPr b="1" sz="1800">
                <a:solidFill>
                  <a:schemeClr val="dk1"/>
                </a:solidFill>
                <a:latin typeface="+mn-lt"/>
              </a:rPr>
              <a:t>Ana Paula Eleuterio - Trabalhou semana passada - Acima de 18 anos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'PESSOAS - TABULAÇÃO'!$B$143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TABULAÇÃO'!$C$142:$D$142</c:f>
            </c:strRef>
          </c:cat>
          <c:val>
            <c:numRef>
              <c:f>'PESSOAS - TABULAÇÃO'!$C$143:$D$143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chemeClr val="dk1"/>
                </a:solidFill>
                <a:latin typeface="+mn-lt"/>
              </a:defRPr>
            </a:pPr>
            <a:r>
              <a:rPr b="1" sz="1800">
                <a:solidFill>
                  <a:schemeClr val="dk1"/>
                </a:solidFill>
                <a:latin typeface="+mn-lt"/>
              </a:rPr>
              <a:t>Aparecidinha - Trabalhou semana passada - Acima de 18 anos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TABULAÇÃO'!$C$142:$D$142</c:f>
            </c:strRef>
          </c:cat>
          <c:val>
            <c:numRef>
              <c:f>'PESSOAS - TABULAÇÃO'!$C$143:$D$143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chemeClr val="dk1"/>
                </a:solidFill>
                <a:latin typeface="+mn-lt"/>
              </a:defRPr>
            </a:pPr>
            <a:r>
              <a:rPr b="1" sz="1800">
                <a:solidFill>
                  <a:schemeClr val="dk1"/>
                </a:solidFill>
                <a:latin typeface="+mn-lt"/>
              </a:rPr>
              <a:t>Brigadeiro Tobias	- Trabalhou semana passada - Acima de 18 anos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TABULAÇÃO'!$C$142:$D$142</c:f>
            </c:strRef>
          </c:cat>
          <c:val>
            <c:numRef>
              <c:f>'PESSOAS - TABULAÇÃO'!$C$143:$D$143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chemeClr val="dk1"/>
                </a:solidFill>
                <a:latin typeface="+mn-lt"/>
              </a:defRPr>
            </a:pPr>
            <a:r>
              <a:rPr b="1" sz="1800">
                <a:solidFill>
                  <a:schemeClr val="dk1"/>
                </a:solidFill>
                <a:latin typeface="+mn-lt"/>
              </a:rPr>
              <a:t>Cajuru - Trabalhou semana passada - Acima de 18 anos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TABULAÇÃO'!$C$142:$D$142</c:f>
            </c:strRef>
          </c:cat>
          <c:val>
            <c:numRef>
              <c:f>'PESSOAS - TABULAÇÃO'!$C$143:$D$143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chemeClr val="dk1"/>
                </a:solidFill>
                <a:latin typeface="+mn-lt"/>
              </a:defRPr>
            </a:pPr>
            <a:r>
              <a:rPr b="1" sz="1800">
                <a:solidFill>
                  <a:schemeClr val="dk1"/>
                </a:solidFill>
                <a:latin typeface="+mn-lt"/>
              </a:rPr>
              <a:t>Caranda - Trabalhou semana passada - Acima de 18 anos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TABULAÇÃO'!$C$142:$D$142</c:f>
            </c:strRef>
          </c:cat>
          <c:val>
            <c:numRef>
              <c:f>'PESSOAS - TABULAÇÃO'!$C$143:$D$143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chemeClr val="dk1"/>
                </a:solidFill>
                <a:latin typeface="+mn-lt"/>
              </a:defRPr>
            </a:pPr>
            <a:r>
              <a:rPr b="1" sz="1800">
                <a:solidFill>
                  <a:schemeClr val="dk1"/>
                </a:solidFill>
                <a:latin typeface="+mn-lt"/>
              </a:rPr>
              <a:t>Ipiranga - Trabalhou semana passada - Acima de 18 anos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TABULAÇÃO'!$C$142:$D$142</c:f>
            </c:strRef>
          </c:cat>
          <c:val>
            <c:numRef>
              <c:f>'PESSOAS - TABULAÇÃO'!$C$143:$D$143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chemeClr val="dk1"/>
                </a:solidFill>
                <a:latin typeface="+mn-lt"/>
              </a:defRPr>
            </a:pPr>
            <a:r>
              <a:rPr b="1" sz="1800">
                <a:solidFill>
                  <a:schemeClr val="dk1"/>
                </a:solidFill>
                <a:latin typeface="+mn-lt"/>
              </a:rPr>
              <a:t>João Romão - Trabalhou semana passada - Acima de 18 anos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TABULAÇÃO'!$C$142:$D$142</c:f>
            </c:strRef>
          </c:cat>
          <c:val>
            <c:numRef>
              <c:f>'PESSOAS - TABULAÇÃO'!$C$143:$D$143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chemeClr val="dk1"/>
                </a:solidFill>
                <a:latin typeface="+mn-lt"/>
              </a:defRPr>
            </a:pPr>
            <a:r>
              <a:rPr b="1" sz="1800">
                <a:solidFill>
                  <a:schemeClr val="dk1"/>
                </a:solidFill>
                <a:latin typeface="+mn-lt"/>
              </a:rPr>
              <a:t>Laranjeiras - Trabalhou semana passada - Acima de 18 anos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TABULAÇÃO'!$C$142:$D$142</c:f>
            </c:strRef>
          </c:cat>
          <c:val>
            <c:numRef>
              <c:f>'PESSOAS - TABULAÇÃO'!$C$143:$D$143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chemeClr val="dk1"/>
                </a:solidFill>
                <a:latin typeface="+mn-lt"/>
              </a:defRPr>
            </a:pPr>
            <a:r>
              <a:rPr b="1" sz="1800">
                <a:solidFill>
                  <a:schemeClr val="dk1"/>
                </a:solidFill>
                <a:latin typeface="+mn-lt"/>
              </a:rPr>
              <a:t>Nova Esperança - Trabalhou semana passada - Acima de 18 anos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TABULAÇÃO'!$C$142:$D$142</c:f>
            </c:strRef>
          </c:cat>
          <c:val>
            <c:numRef>
              <c:f>'PESSOAS - TABULAÇÃO'!$C$143:$D$143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chemeClr val="dk1"/>
                </a:solidFill>
                <a:latin typeface="+mn-lt"/>
              </a:defRPr>
            </a:pPr>
            <a:r>
              <a:rPr b="1" sz="1800">
                <a:solidFill>
                  <a:schemeClr val="dk1"/>
                </a:solidFill>
                <a:latin typeface="+mn-lt"/>
              </a:rPr>
              <a:t>São Bento - Trabalhou semana passada - Acima de 18 anos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TABULAÇÃO'!$C$142:$D$142</c:f>
            </c:strRef>
          </c:cat>
          <c:val>
            <c:numRef>
              <c:f>'PESSOAS - TABULAÇÃO'!$C$143:$D$143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chemeClr val="dk1"/>
                </a:solidFill>
                <a:latin typeface="+mn-lt"/>
              </a:defRPr>
            </a:pPr>
            <a:r>
              <a:rPr b="1" sz="1800">
                <a:solidFill>
                  <a:schemeClr val="dk1"/>
                </a:solidFill>
                <a:latin typeface="+mn-lt"/>
              </a:rPr>
              <a:t>Vila Helena - Trabalhou semana passada - Acima de 18 anos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TABULAÇÃO'!$C$142:$D$142</c:f>
            </c:strRef>
          </c:cat>
          <c:val>
            <c:numRef>
              <c:f>'PESSOAS - TABULAÇÃO'!$C$143:$D$143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chemeClr val="dk1"/>
                </a:solidFill>
                <a:latin typeface="+mn-lt"/>
              </a:defRPr>
            </a:pPr>
            <a:r>
              <a:rPr b="1" sz="1800">
                <a:solidFill>
                  <a:schemeClr val="dk1"/>
                </a:solidFill>
                <a:latin typeface="+mn-lt"/>
              </a:rPr>
              <a:t>Vitória Régia - Trabalhou semana passada - Acima de 18 anos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TABULAÇÃO'!$C$142:$D$142</c:f>
            </c:strRef>
          </c:cat>
          <c:val>
            <c:numRef>
              <c:f>'PESSOAS - TABULAÇÃO'!$C$143:$D$143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Percentual total forma de trabalho</a:t>
            </a:r>
          </a:p>
        </c:rich>
      </c:tx>
      <c:overlay val="0"/>
    </c:title>
    <c:plotArea>
      <c:layout>
        <c:manualLayout>
          <c:xMode val="edge"/>
          <c:yMode val="edge"/>
          <c:x val="0.002173913043478261"/>
          <c:y val="0.17146008028151444"/>
          <c:w val="0.9978260869565218"/>
          <c:h val="0.7696484647531276"/>
        </c:manualLayout>
      </c:layout>
      <c:pieChart>
        <c:varyColors val="1"/>
        <c:ser>
          <c:idx val="0"/>
          <c:order val="0"/>
          <c:tx>
            <c:strRef>
              <c:f>'PESSOAS - TABULAÇÃO'!$B$171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'PESSOAS - TABULAÇÃO'!$C$158:$M$158</c:f>
            </c:strRef>
          </c:cat>
          <c:val>
            <c:numRef>
              <c:f>'PESSOAS - TABULAÇÃO'!$C$171:$M$171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Ana Paula Eleuterio - Forma de Trabalho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TABULAÇÃO'!$B$159</c:f>
            </c:strRef>
          </c:tx>
          <c:spPr>
            <a:solidFill>
              <a:srgbClr val="0F243E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TABULAÇÃO'!$C$158:$M$158</c:f>
            </c:strRef>
          </c:cat>
          <c:val>
            <c:numRef>
              <c:f>'PESSOAS - TABULAÇÃO'!$C$159:$M$159</c:f>
              <c:numCache/>
            </c:numRef>
          </c:val>
        </c:ser>
        <c:axId val="1638825015"/>
        <c:axId val="1170168590"/>
      </c:barChart>
      <c:catAx>
        <c:axId val="16388250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0168590"/>
      </c:catAx>
      <c:valAx>
        <c:axId val="11701685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882501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Brigadeiro Tobias - Forma de Trabalho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TABULAÇÃO'!$B$161</c:f>
            </c:strRef>
          </c:tx>
          <c:spPr>
            <a:solidFill>
              <a:srgbClr val="0F243E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TABULAÇÃO'!$C$158:$M$158</c:f>
            </c:strRef>
          </c:cat>
          <c:val>
            <c:numRef>
              <c:f>'PESSOAS - TABULAÇÃO'!$C$161:$M$161</c:f>
              <c:numCache/>
            </c:numRef>
          </c:val>
        </c:ser>
        <c:axId val="576094762"/>
        <c:axId val="1860813079"/>
      </c:barChart>
      <c:catAx>
        <c:axId val="5760947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0813079"/>
      </c:catAx>
      <c:valAx>
        <c:axId val="18608130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0947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Aparecidinha - Forma de Trabalho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TABULAÇÃO'!$B$160</c:f>
            </c:strRef>
          </c:tx>
          <c:spPr>
            <a:solidFill>
              <a:srgbClr val="0F243E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TABULAÇÃO'!$C$158:$M$158</c:f>
            </c:strRef>
          </c:cat>
          <c:val>
            <c:numRef>
              <c:f>'PESSOAS - TABULAÇÃO'!$C$160:$M$160</c:f>
              <c:numCache/>
            </c:numRef>
          </c:val>
        </c:ser>
        <c:axId val="602855458"/>
        <c:axId val="212551331"/>
      </c:barChart>
      <c:catAx>
        <c:axId val="6028554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551331"/>
      </c:catAx>
      <c:valAx>
        <c:axId val="2125513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28554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Cajuru - Forma de Trabalho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TABULAÇÃO'!$B$162</c:f>
            </c:strRef>
          </c:tx>
          <c:spPr>
            <a:solidFill>
              <a:srgbClr val="0F243E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TABULAÇÃO'!$C$158:$M$158</c:f>
            </c:strRef>
          </c:cat>
          <c:val>
            <c:numRef>
              <c:f>'PESSOAS - TABULAÇÃO'!$C$162:$M$162</c:f>
              <c:numCache/>
            </c:numRef>
          </c:val>
        </c:ser>
        <c:axId val="525415658"/>
        <c:axId val="881608675"/>
      </c:barChart>
      <c:catAx>
        <c:axId val="5254156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1608675"/>
      </c:catAx>
      <c:valAx>
        <c:axId val="8816086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54156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Caranda - Forma de Trabalho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TABULAÇÃO'!$B$163</c:f>
            </c:strRef>
          </c:tx>
          <c:spPr>
            <a:solidFill>
              <a:srgbClr val="0F243E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TABULAÇÃO'!$C$158:$M$158</c:f>
            </c:strRef>
          </c:cat>
          <c:val>
            <c:numRef>
              <c:f>'PESSOAS - TABULAÇÃO'!$C$163:$M$163</c:f>
              <c:numCache/>
            </c:numRef>
          </c:val>
        </c:ser>
        <c:axId val="380269243"/>
        <c:axId val="309630451"/>
      </c:barChart>
      <c:catAx>
        <c:axId val="3802692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630451"/>
      </c:catAx>
      <c:valAx>
        <c:axId val="3096304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026924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Ipiranga - Forma de Trabalho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TABULAÇÃO'!$B$164</c:f>
            </c:strRef>
          </c:tx>
          <c:spPr>
            <a:solidFill>
              <a:srgbClr val="0F243E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TABULAÇÃO'!$C$158:$M$158</c:f>
            </c:strRef>
          </c:cat>
          <c:val>
            <c:numRef>
              <c:f>'PESSOAS - TABULAÇÃO'!$C$164:$M$164</c:f>
              <c:numCache/>
            </c:numRef>
          </c:val>
        </c:ser>
        <c:axId val="244723532"/>
        <c:axId val="770533277"/>
      </c:barChart>
      <c:catAx>
        <c:axId val="2447235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533277"/>
      </c:catAx>
      <c:valAx>
        <c:axId val="7705332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7235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João Romão - Forma de Trabalho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TABULAÇÃO'!$B$158</c:f>
            </c:strRef>
          </c:tx>
          <c:invertIfNegative val="0"/>
          <c:cat>
            <c:strRef>
              <c:f>'PESSOAS - TABULAÇÃO'!$C$158:$M$158</c:f>
            </c:strRef>
          </c:cat>
          <c:val>
            <c:numRef>
              <c:f>'PESSOAS - TABULAÇÃO'!$C$158:$M$158</c:f>
              <c:numCache/>
            </c:numRef>
          </c:val>
        </c:ser>
        <c:axId val="1660315986"/>
        <c:axId val="212402472"/>
      </c:barChart>
      <c:catAx>
        <c:axId val="16603159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402472"/>
      </c:catAx>
      <c:valAx>
        <c:axId val="212402472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66031598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Laranjeiras - Forma de Trabalho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TABULAÇÃO'!$B$165</c:f>
            </c:strRef>
          </c:tx>
          <c:spPr>
            <a:solidFill>
              <a:srgbClr val="0F243E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TABULAÇÃO'!$C$158:$M$158</c:f>
            </c:strRef>
          </c:cat>
          <c:val>
            <c:numRef>
              <c:f>'PESSOAS - TABULAÇÃO'!$C$165:$M$165</c:f>
              <c:numCache/>
            </c:numRef>
          </c:val>
        </c:ser>
        <c:axId val="924004735"/>
        <c:axId val="1815470524"/>
      </c:barChart>
      <c:catAx>
        <c:axId val="9240047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5470524"/>
      </c:catAx>
      <c:valAx>
        <c:axId val="18154705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400473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Nova Esperança - Forma de Trabalho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TABULAÇÃO'!$B$166</c:f>
            </c:strRef>
          </c:tx>
          <c:spPr>
            <a:solidFill>
              <a:srgbClr val="0F243E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TABULAÇÃO'!$C$158:$M$158</c:f>
            </c:strRef>
          </c:cat>
          <c:val>
            <c:numRef>
              <c:f>'PESSOAS - TABULAÇÃO'!$C$166:$M$166</c:f>
              <c:numCache/>
            </c:numRef>
          </c:val>
        </c:ser>
        <c:axId val="169717430"/>
        <c:axId val="29614813"/>
      </c:barChart>
      <c:catAx>
        <c:axId val="1697174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614813"/>
      </c:catAx>
      <c:valAx>
        <c:axId val="296148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71743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São Bento - Forma de Trabalho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'PESSOAS - TABULAÇÃO'!$B$167</c:f>
            </c:strRef>
          </c:tx>
          <c:spPr>
            <a:solidFill>
              <a:srgbClr val="0F243E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TABULAÇÃO'!$C$158:$M$158</c:f>
            </c:strRef>
          </c:cat>
          <c:val>
            <c:numRef>
              <c:f>'PESSOAS - TABULAÇÃO'!$C$167:$M$167</c:f>
              <c:numCache/>
            </c:numRef>
          </c:val>
        </c:ser>
        <c:ser>
          <c:idx val="1"/>
          <c:order val="1"/>
          <c:tx>
            <c:strRef>
              <c:f>'PESSOAS - TABULAÇÃO'!$B$168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'PESSOAS - TABULAÇÃO'!$C$158:$M$158</c:f>
            </c:strRef>
          </c:cat>
          <c:val>
            <c:numRef>
              <c:f>'PESSOAS - TABULAÇÃO'!$C$168:$M$168</c:f>
              <c:numCache/>
            </c:numRef>
          </c:val>
        </c:ser>
        <c:axId val="1292393068"/>
        <c:axId val="1423325455"/>
      </c:barChart>
      <c:catAx>
        <c:axId val="12923930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325455"/>
      </c:catAx>
      <c:valAx>
        <c:axId val="14233254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3930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Vila Helena - Forma de Trabalho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TABULAÇÃO'!$B$169</c:f>
            </c:strRef>
          </c:tx>
          <c:spPr>
            <a:solidFill>
              <a:srgbClr val="0F243E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TABULAÇÃO'!$C$158:$M$158</c:f>
            </c:strRef>
          </c:cat>
          <c:val>
            <c:numRef>
              <c:f>'PESSOAS - TABULAÇÃO'!$C$169:$M$169</c:f>
              <c:numCache/>
            </c:numRef>
          </c:val>
        </c:ser>
        <c:axId val="963486918"/>
        <c:axId val="2143326643"/>
      </c:barChart>
      <c:catAx>
        <c:axId val="9634869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3326643"/>
      </c:catAx>
      <c:valAx>
        <c:axId val="21433266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4869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Vitória Régia - Forma de Trabalho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'PESSOAS - TABULAÇÃO'!$B$170</c:f>
            </c:strRef>
          </c:tx>
          <c:spPr>
            <a:solidFill>
              <a:srgbClr val="0F243E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TABULAÇÃO'!$C$158:$M$158</c:f>
            </c:strRef>
          </c:cat>
          <c:val>
            <c:numRef>
              <c:f>'PESSOAS - TABULAÇÃO'!$C$170:$M$170</c:f>
              <c:numCache/>
            </c:numRef>
          </c:val>
        </c:ser>
        <c:axId val="1205606367"/>
        <c:axId val="1151006084"/>
      </c:barChart>
      <c:catAx>
        <c:axId val="12056063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1006084"/>
      </c:catAx>
      <c:valAx>
        <c:axId val="11510060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560636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Total de pessoas por CRAS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'PESSOAS - TABULAÇÃO'!$B$22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'PESSOAS - TABULAÇÃO'!$C$8:$N$8</c:f>
            </c:strRef>
          </c:cat>
          <c:val>
            <c:numRef>
              <c:f>'PESSOAS - TABULAÇÃO'!$C$22:$N$22</c:f>
              <c:numCache/>
            </c:numRef>
          </c:val>
        </c:ser>
        <c:axId val="735730639"/>
        <c:axId val="1217741176"/>
      </c:barChart>
      <c:catAx>
        <c:axId val="735730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741176"/>
      </c:catAx>
      <c:valAx>
        <c:axId val="1217741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57306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Total de famílias por CRAS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TABULAÇÃO'!$G$8:$G$9</c:f>
            </c:strRef>
          </c:tx>
          <c:spPr>
            <a:solidFill>
              <a:srgbClr val="7F60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TABULAÇÃO'!$B$10:$B$21</c:f>
            </c:strRef>
          </c:cat>
          <c:val>
            <c:numRef>
              <c:f>'FAMÍLIAS - TABULAÇÃO'!$G$10:$G$21</c:f>
              <c:numCache/>
            </c:numRef>
          </c:val>
        </c:ser>
        <c:axId val="1699268511"/>
        <c:axId val="278367827"/>
      </c:barChart>
      <c:catAx>
        <c:axId val="1699268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367827"/>
      </c:catAx>
      <c:valAx>
        <c:axId val="2783678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2685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Total - Faixa de renda R$ 0 até R$ 89.00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TABULAÇÃO'!$C$9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TABULAÇÃO'!$B$10:$B$21</c:f>
            </c:strRef>
          </c:cat>
          <c:val>
            <c:numRef>
              <c:f>'FAMÍLIAS - TABULAÇÃO'!$C$10:$C$21</c:f>
              <c:numCache/>
            </c:numRef>
          </c:val>
        </c:ser>
        <c:axId val="1332054833"/>
        <c:axId val="1617780881"/>
      </c:barChart>
      <c:catAx>
        <c:axId val="1332054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780881"/>
      </c:catAx>
      <c:valAx>
        <c:axId val="1617780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Ate R$89,00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20548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Total - Faixa de renda R$ 89.01 até R$ 178.00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TABULAÇÃO'!$D$9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TABULAÇÃO'!$B$10:$B$21</c:f>
            </c:strRef>
          </c:cat>
          <c:val>
            <c:numRef>
              <c:f>'FAMÍLIAS - TABULAÇÃO'!$D$10:$D$21</c:f>
              <c:numCache/>
            </c:numRef>
          </c:val>
        </c:ser>
        <c:axId val="1824803030"/>
        <c:axId val="1997273215"/>
      </c:barChart>
      <c:catAx>
        <c:axId val="1824803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273215"/>
      </c:catAx>
      <c:valAx>
        <c:axId val="1997273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Entre R$85,01 ate R$178,00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4803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Total - Faixa de renda R$ 178.01 até 1/2 S.M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TABULAÇÃO'!$E$9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TABULAÇÃO'!$B$10:$B$21</c:f>
            </c:strRef>
          </c:cat>
          <c:val>
            <c:numRef>
              <c:f>'FAMÍLIAS - TABULAÇÃO'!$E$10:$E$21</c:f>
              <c:numCache/>
            </c:numRef>
          </c:val>
        </c:ser>
        <c:axId val="950248977"/>
        <c:axId val="54016023"/>
      </c:barChart>
      <c:catAx>
        <c:axId val="950248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16023"/>
      </c:catAx>
      <c:valAx>
        <c:axId val="54016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Entre R$85,01 ate R$178,00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2489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Total - Faixa de Renda Acima de 1/2 S.M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TABULAÇÃO'!$F$9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TABULAÇÃO'!$B$10:$B$21</c:f>
            </c:strRef>
          </c:cat>
          <c:val>
            <c:numRef>
              <c:f>'FAMÍLIAS - TABULAÇÃO'!$F$10:$F$21</c:f>
              <c:numCache/>
            </c:numRef>
          </c:val>
        </c:ser>
        <c:axId val="931932920"/>
        <c:axId val="1963307514"/>
      </c:barChart>
      <c:catAx>
        <c:axId val="931932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3307514"/>
      </c:catAx>
      <c:valAx>
        <c:axId val="1963307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Entre R$85,01 ate R$178,00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19329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Famílias/km² - Faixa de renda de R$85,01 ate R$178,00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TABULAÇÃO'!$D$25</c:f>
            </c:strRef>
          </c:tx>
          <c:spPr>
            <a:solidFill>
              <a:srgbClr val="134F5C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TABULAÇÃO'!$B$26:$B$37</c:f>
            </c:strRef>
          </c:cat>
          <c:val>
            <c:numRef>
              <c:f>'FAMÍLIAS - TABULAÇÃO'!$D$26:$D$37</c:f>
              <c:numCache/>
            </c:numRef>
          </c:val>
        </c:ser>
        <c:axId val="991702763"/>
        <c:axId val="660065995"/>
      </c:barChart>
      <c:catAx>
        <c:axId val="991702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0065995"/>
      </c:catAx>
      <c:valAx>
        <c:axId val="6600659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Entre R$85,01 ate R$178,00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7027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Famílias/km² - Faixa de renda R$ 0 até R$ 89.00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TABULAÇÃO'!$C$25</c:f>
            </c:strRef>
          </c:tx>
          <c:spPr>
            <a:solidFill>
              <a:srgbClr val="134F5C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TABULAÇÃO'!$B$26:$B$37</c:f>
            </c:strRef>
          </c:cat>
          <c:val>
            <c:numRef>
              <c:f>'FAMÍLIAS - TABULAÇÃO'!$C$26:$C$37</c:f>
              <c:numCache/>
            </c:numRef>
          </c:val>
        </c:ser>
        <c:axId val="1707133545"/>
        <c:axId val="1523318051"/>
      </c:barChart>
      <c:catAx>
        <c:axId val="1707133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318051"/>
      </c:catAx>
      <c:valAx>
        <c:axId val="1523318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Ate R$89,00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71335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Famílias/km² - Faixa de renda de R$178,01 até 1/2 S.M.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TABULAÇÃO'!$E$25</c:f>
            </c:strRef>
          </c:tx>
          <c:spPr>
            <a:solidFill>
              <a:srgbClr val="134F5C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TABULAÇÃO'!$B$26:$B$37</c:f>
            </c:strRef>
          </c:cat>
          <c:val>
            <c:numRef>
              <c:f>'FAMÍLIAS - TABULAÇÃO'!$E$26:$E$37</c:f>
              <c:numCache/>
            </c:numRef>
          </c:val>
        </c:ser>
        <c:axId val="1703100963"/>
        <c:axId val="1271200801"/>
      </c:barChart>
      <c:catAx>
        <c:axId val="1703100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200801"/>
      </c:catAx>
      <c:valAx>
        <c:axId val="12712008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Entre R$85,01 ate R$178,00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1009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Famílias/km² - Faixa de renda acima de 1/2 S.M.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TABULAÇÃO'!$F$25</c:f>
            </c:strRef>
          </c:tx>
          <c:spPr>
            <a:solidFill>
              <a:srgbClr val="134F5C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TABULAÇÃO'!$B$26:$B$37</c:f>
            </c:strRef>
          </c:cat>
          <c:val>
            <c:numRef>
              <c:f>'FAMÍLIAS - TABULAÇÃO'!$F$26:$F$37</c:f>
              <c:numCache/>
            </c:numRef>
          </c:val>
        </c:ser>
        <c:axId val="1786907482"/>
        <c:axId val="2041293079"/>
      </c:barChart>
      <c:catAx>
        <c:axId val="1786907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293079"/>
      </c:catAx>
      <c:valAx>
        <c:axId val="2041293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Entre R$85,01 ate R$178,00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6907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Ana P. Eleuterio - Faixa de Renda - Per capita familiar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TABULAÇÃO'!$B$10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TABULAÇÃO'!$C$9:$F$9</c:f>
            </c:strRef>
          </c:cat>
          <c:val>
            <c:numRef>
              <c:f>'FAMÍLIAS - TABULAÇÃO'!$C$10:$F$10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1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Aparecidinha - Faixa de Renda - Per capita familiar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TABULAÇÃO'!$B$11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TABULAÇÃO'!$C$9:$F$9</c:f>
            </c:strRef>
          </c:cat>
          <c:val>
            <c:numRef>
              <c:f>'FAMÍLIAS - TABULAÇÃO'!$C$11:$F$11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1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Brigadeiro Tobias - Faixa de Renda - Per capita familiar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TABULAÇÃO'!$B$12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TABULAÇÃO'!$C$9:$F$9</c:f>
            </c:strRef>
          </c:cat>
          <c:val>
            <c:numRef>
              <c:f>'FAMÍLIAS - TABULAÇÃO'!$C$12:$F$12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1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Cajuru - Faixa de Renda - Per capita familiar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TABULAÇÃO'!$B$13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TABULAÇÃO'!$C$9:$F$9</c:f>
            </c:strRef>
          </c:cat>
          <c:val>
            <c:numRef>
              <c:f>'FAMÍLIAS - TABULAÇÃO'!$C$13:$F$13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1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Caranda - Faixa de Renda - Per capita familiar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TABULAÇÃO'!$B$14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TABULAÇÃO'!$C$9:$F$9</c:f>
            </c:strRef>
          </c:cat>
          <c:val>
            <c:numRef>
              <c:f>'FAMÍLIAS - TABULAÇÃO'!$C$14:$F$14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1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Ipiranga - Faixa de Renda - Per capita familiar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TABULAÇÃO'!$B$15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TABULAÇÃO'!$C$9:$F$9</c:f>
            </c:strRef>
          </c:cat>
          <c:val>
            <c:numRef>
              <c:f>'FAMÍLIAS - TABULAÇÃO'!$C$15:$F$15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1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Laranjeiras - Faixa de Renda - Per capita familiar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TABULAÇÃO'!$B$16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TABULAÇÃO'!$C$9:$F$9</c:f>
            </c:strRef>
          </c:cat>
          <c:val>
            <c:numRef>
              <c:f>'FAMÍLIAS - TABULAÇÃO'!$C$16:$F$16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1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Nova Esperança - Faixa de Renda - Per capita familiar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TABULAÇÃO'!$B$12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TABULAÇÃO'!$C$9:$F$9</c:f>
            </c:strRef>
          </c:cat>
          <c:val>
            <c:numRef>
              <c:f>'FAMÍLIAS - TABULAÇÃO'!$C$12:$F$12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1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São Bento - Faixa de Renda - Per capita familiar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TABULAÇÃO'!$B$13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TABULAÇÃO'!$C$9:$F$9</c:f>
            </c:strRef>
          </c:cat>
          <c:val>
            <c:numRef>
              <c:f>'FAMÍLIAS - TABULAÇÃO'!$C$13:$F$13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1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Nova Esperança - Faixa de Renda - Per capita familiar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TABULAÇÃO'!$B$17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TABULAÇÃO'!$C$9:$F$9</c:f>
            </c:strRef>
          </c:cat>
          <c:val>
            <c:numRef>
              <c:f>'FAMÍLIAS - TABULAÇÃO'!$C$17:$F$17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1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São Bento - Faixa de Renda - Per capita familiar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TABULAÇÃO'!$B$18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TABULAÇÃO'!$C$9:$F$9</c:f>
            </c:strRef>
          </c:cat>
          <c:val>
            <c:numRef>
              <c:f>'FAMÍLIAS - TABULAÇÃO'!$C$18:$F$18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1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Vila Helena - Faixa de Renda - Per capita familiar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TABULAÇÃO'!$B$20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TABULAÇÃO'!$C$9:$F$9</c:f>
            </c:strRef>
          </c:cat>
          <c:val>
            <c:numRef>
              <c:f>'FAMÍLIAS - TABULAÇÃO'!$C$20:$F$20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1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Vitória Régia - Faixa de Renda - Per capita familiar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TABULAÇÃO'!$B$21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TABULAÇÃO'!$C$9:$F$9</c:f>
            </c:strRef>
          </c:cat>
          <c:val>
            <c:numRef>
              <c:f>'FAMÍLIAS - TABULAÇÃO'!$C$21:$F$21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1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Espécie do domicílio - Geral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6365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TABULAÇÃO'!$C$41:$D$41</c:f>
            </c:strRef>
          </c:cat>
          <c:val>
            <c:numRef>
              <c:f>'FAMÍLIAS - TABULAÇÃO'!$C$42:$D$42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Ana P. Eleutério - Espécie do domicílio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TABULAÇÃO'!$B$42</c:f>
            </c:strRef>
          </c:tx>
          <c:dPt>
            <c:idx val="0"/>
            <c:spPr>
              <a:solidFill>
                <a:srgbClr val="0F243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TABULAÇÃO'!$C$41:$D$41</c:f>
            </c:strRef>
          </c:cat>
          <c:val>
            <c:numRef>
              <c:f>'FAMÍLIAS - TABULAÇÃO'!$C$42:$D$42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Aparecidinha - Espécie do domicílio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F243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TABULAÇÃO'!$C$41:$D$41</c:f>
            </c:strRef>
          </c:cat>
          <c:val>
            <c:numRef>
              <c:f>'FAMÍLIAS - TABULAÇÃO'!$C$42:$D$42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Brigadeiro Tobias - Espécie do domicílio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F243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TABULAÇÃO'!$C$41:$D$41</c:f>
            </c:strRef>
          </c:cat>
          <c:val>
            <c:numRef>
              <c:f>'FAMÍLIAS - TABULAÇÃO'!$C$42:$D$42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Cajuru - Espécie do domicílio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F243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TABULAÇÃO'!$C$41:$D$41</c:f>
            </c:strRef>
          </c:cat>
          <c:val>
            <c:numRef>
              <c:f>'FAMÍLIAS - TABULAÇÃO'!$C$42:$D$42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Caranda - Espécie do domicílio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F243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TABULAÇÃO'!$C$41:$D$41</c:f>
            </c:strRef>
          </c:cat>
          <c:val>
            <c:numRef>
              <c:f>'FAMÍLIAS - TABULAÇÃO'!$C$42:$D$42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Ipiranga - Espécie do domicílio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F243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TABULAÇÃO'!$C$41:$D$41</c:f>
            </c:strRef>
          </c:cat>
          <c:val>
            <c:numRef>
              <c:f>'FAMÍLIAS - TABULAÇÃO'!$C$42:$D$42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João Romão - Espécie do domicílio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F243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TABULAÇÃO'!$C$41:$D$41</c:f>
            </c:strRef>
          </c:cat>
          <c:val>
            <c:numRef>
              <c:f>'FAMÍLIAS - TABULAÇÃO'!$C$42:$D$42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Laranjeiras - Espécie do domicílio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F243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TABULAÇÃO'!$C$41:$D$41</c:f>
            </c:strRef>
          </c:cat>
          <c:val>
            <c:numRef>
              <c:f>'FAMÍLIAS - TABULAÇÃO'!$C$42:$D$42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Nova Esperança - Espécie do domicílio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F243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TABULAÇÃO'!$C$41:$D$41</c:f>
            </c:strRef>
          </c:cat>
          <c:val>
            <c:numRef>
              <c:f>'FAMÍLIAS - TABULAÇÃO'!$C$42:$D$42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São Bento - Espécie do domicílio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F243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TABULAÇÃO'!$C$41:$D$41</c:f>
            </c:strRef>
          </c:cat>
          <c:val>
            <c:numRef>
              <c:f>'FAMÍLIAS - TABULAÇÃO'!$C$42:$D$42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Vila Helena - Espécie do domicílio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F243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TABULAÇÃO'!$C$41:$D$41</c:f>
            </c:strRef>
          </c:cat>
          <c:val>
            <c:numRef>
              <c:f>'FAMÍLIAS - TABULAÇÃO'!$C$42:$D$42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Vitória Régia - Espécie do domicílio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F243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TABULAÇÃO'!$C$41:$D$41</c:f>
            </c:strRef>
          </c:cat>
          <c:val>
            <c:numRef>
              <c:f>'FAMÍLIAS - TABULAÇÃO'!$C$42:$D$42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Total de famílias em área rural por unidade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'FAMÍLIAS - TABULAÇÃO'!$D$41</c:f>
            </c:strRef>
          </c:tx>
          <c:spPr>
            <a:solidFill>
              <a:srgbClr val="E69138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TABULAÇÃO'!$B$42:$B$53</c:f>
            </c:strRef>
          </c:cat>
          <c:val>
            <c:numRef>
              <c:f>'FAMÍLIAS - TABULAÇÃO'!$D$42:$D$53</c:f>
              <c:numCache/>
            </c:numRef>
          </c:val>
        </c:ser>
        <c:axId val="664446373"/>
        <c:axId val="561762987"/>
      </c:barChart>
      <c:catAx>
        <c:axId val="6644463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1762987"/>
      </c:catAx>
      <c:valAx>
        <c:axId val="5617629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Rural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444637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Total de famílias/km² por unidade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TABULAÇÃO'!$G$24:$G$25</c:f>
            </c:strRef>
          </c:tx>
          <c:spPr>
            <a:solidFill>
              <a:srgbClr val="CC412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TABULAÇÃO'!$B$26:$B$37</c:f>
            </c:strRef>
          </c:cat>
          <c:val>
            <c:numRef>
              <c:f>'FAMÍLIAS - TABULAÇÃO'!$G$26:$G$38</c:f>
              <c:numCache/>
            </c:numRef>
          </c:val>
        </c:ser>
        <c:axId val="48225358"/>
        <c:axId val="1350092605"/>
      </c:barChart>
      <c:catAx>
        <c:axId val="48225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092605"/>
      </c:catAx>
      <c:valAx>
        <c:axId val="13500926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 familias por km²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2253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Situação do domicílio - Geral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TABULAÇÃO'!$G$54</c:f>
            </c:strRef>
          </c:tx>
          <c:spPr>
            <a:solidFill>
              <a:srgbClr val="CC412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TABULAÇÃO'!$H$41:$J$41</c:f>
            </c:strRef>
          </c:cat>
          <c:val>
            <c:numRef>
              <c:f>'FAMÍLIAS - TABULAÇÃO'!$H$54:$J$54</c:f>
              <c:numCache/>
            </c:numRef>
          </c:val>
        </c:ser>
        <c:axId val="738319312"/>
        <c:axId val="1746356160"/>
      </c:barChart>
      <c:catAx>
        <c:axId val="738319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356160"/>
      </c:catAx>
      <c:valAx>
        <c:axId val="1746356160"/>
        <c:scaling>
          <c:orientation val="minMax"/>
          <c:max val="45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3193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Total de cômodos - Geral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TABULAÇÃO'!$B$71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TABULAÇÃO'!$C$58:$I$58</c:f>
            </c:strRef>
          </c:cat>
          <c:val>
            <c:numRef>
              <c:f>'FAMÍLIAS - TABULAÇÃO'!$C$71:$I$71</c:f>
              <c:numCache/>
            </c:numRef>
          </c:val>
        </c:ser>
        <c:axId val="1757800324"/>
        <c:axId val="148190495"/>
      </c:barChart>
      <c:catAx>
        <c:axId val="1757800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190495"/>
      </c:catAx>
      <c:valAx>
        <c:axId val="148190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78003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Ana Paula Eleutério - Número de cômodos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TABULAÇÃO'!$B$59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TABULAÇÃO'!$C$58:$I$58</c:f>
            </c:strRef>
          </c:cat>
          <c:val>
            <c:numRef>
              <c:f>'FAMÍLIAS - TABULAÇÃO'!$C$59:$I$59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Aparecidinha - Número de cômodos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TABULAÇÃO'!$B$60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TABULAÇÃO'!$C$58:$I$58</c:f>
            </c:strRef>
          </c:cat>
          <c:val>
            <c:numRef>
              <c:f>'FAMÍLIAS - TABULAÇÃO'!$C$60:$I$60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Brigadeiro Tobias - Número de cômodos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TABULAÇÃO'!$B$61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TABULAÇÃO'!$C$58:$I$58</c:f>
            </c:strRef>
          </c:cat>
          <c:val>
            <c:numRef>
              <c:f>'FAMÍLIAS - TABULAÇÃO'!$C$61:$I$61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Cajuru - Número de cômodos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TABULAÇÃO'!$B$62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TABULAÇÃO'!$C$58:$I$58</c:f>
            </c:strRef>
          </c:cat>
          <c:val>
            <c:numRef>
              <c:f>'FAMÍLIAS - TABULAÇÃO'!$C$62:$I$62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Caranda - Número de cômodos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TABULAÇÃO'!$B$63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TABULAÇÃO'!$C$58:$I$58</c:f>
            </c:strRef>
          </c:cat>
          <c:val>
            <c:numRef>
              <c:f>'FAMÍLIAS - TABULAÇÃO'!$C$63:$I$63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Ipiranga - Número de cômodos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TABULAÇÃO'!$B$64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TABULAÇÃO'!$C$58:$I$58</c:f>
            </c:strRef>
          </c:cat>
          <c:val>
            <c:numRef>
              <c:f>'FAMÍLIAS - TABULAÇÃO'!$C$64:$I$64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Laranjeiras - Número de cômodos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TABULAÇÃO'!$B$65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TABULAÇÃO'!$C$58:$I$58</c:f>
            </c:strRef>
          </c:cat>
          <c:val>
            <c:numRef>
              <c:f>'FAMÍLIAS - TABULAÇÃO'!$C$65:$I$65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Nova Esperança - Número de cômodos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TABULAÇÃO'!$B$66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TABULAÇÃO'!$C$58:$I$58</c:f>
            </c:strRef>
          </c:cat>
          <c:val>
            <c:numRef>
              <c:f>'FAMÍLIAS - TABULAÇÃO'!$C$66:$I$66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São Bento - Número de cômodos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TABULAÇÃO'!$B$67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TABULAÇÃO'!$C$58:$I$58</c:f>
            </c:strRef>
          </c:cat>
          <c:val>
            <c:numRef>
              <c:f>'FAMÍLIAS - TABULAÇÃO'!$C$67:$I$67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Vila Helena - Número de cômodos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TABULAÇÃO'!$B$69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TABULAÇÃO'!$C$58:$I$58</c:f>
            </c:strRef>
          </c:cat>
          <c:val>
            <c:numRef>
              <c:f>'FAMÍLIAS - TABULAÇÃO'!$C$69:$I$69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Vitória Régia - Número de cômodos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'FAMÍLIAS - TABULAÇÃO'!$B$70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TABULAÇÃO'!$C$58:$I$58</c:f>
            </c:strRef>
          </c:cat>
          <c:val>
            <c:numRef>
              <c:f>'FAMÍLIAS - TABULAÇÃO'!$C$70:$I$70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Número de Cômodos servindo como dormitório do domicílio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TABULAÇÃO'!$B$87</c:f>
            </c:strRef>
          </c:tx>
          <c:spPr>
            <a:solidFill>
              <a:srgbClr val="674EA7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TABULAÇÃO'!$C$74:$G$74</c:f>
            </c:strRef>
          </c:cat>
          <c:val>
            <c:numRef>
              <c:f>'FAMÍLIAS - TABULAÇÃO'!$C$87:$G$87</c:f>
              <c:numCache/>
            </c:numRef>
          </c:val>
        </c:ser>
        <c:axId val="36239602"/>
        <c:axId val="1860767347"/>
      </c:barChart>
      <c:catAx>
        <c:axId val="36239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0767347"/>
      </c:catAx>
      <c:valAx>
        <c:axId val="1860767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396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Material predominante no piso do domicílio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'FAMÍLIAS - TABULAÇÃO'!$B$119</c:f>
            </c:strRef>
          </c:tx>
          <c:spPr>
            <a:solidFill>
              <a:srgbClr val="9900FF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TABULAÇÃO'!$C$106:$J$106</c:f>
            </c:strRef>
          </c:cat>
          <c:val>
            <c:numRef>
              <c:f>'FAMÍLIAS - TABULAÇÃO'!$C$119:$J$119</c:f>
              <c:numCache/>
            </c:numRef>
          </c:val>
        </c:ser>
        <c:axId val="490174371"/>
        <c:axId val="1397537427"/>
      </c:barChart>
      <c:catAx>
        <c:axId val="4901743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7537427"/>
      </c:catAx>
      <c:valAx>
        <c:axId val="13975374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1743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Aparecidinha  - Material predominante no piso do domicílio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'FAMÍLIAS - TABULAÇÃO'!$B$108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TABULAÇÃO'!$C$106:$J$106</c:f>
            </c:strRef>
          </c:cat>
          <c:val>
            <c:numRef>
              <c:f>'FAMÍLIAS - TABULAÇÃO'!$C$108:$J$108</c:f>
              <c:numCache/>
            </c:numRef>
          </c:val>
        </c:ser>
        <c:axId val="1856648888"/>
        <c:axId val="779000348"/>
      </c:barChart>
      <c:catAx>
        <c:axId val="18566488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9000348"/>
      </c:catAx>
      <c:valAx>
        <c:axId val="7790003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664888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Ana P. Eleutério - Material predominante no piso do domicílio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'FAMÍLIAS - TABULAÇÃO'!$B$107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TABULAÇÃO'!$C$106:$J$106</c:f>
            </c:strRef>
          </c:cat>
          <c:val>
            <c:numRef>
              <c:f>'FAMÍLIAS - TABULAÇÃO'!$C$107:$J$107</c:f>
              <c:numCache/>
            </c:numRef>
          </c:val>
        </c:ser>
        <c:axId val="313186063"/>
        <c:axId val="346486570"/>
      </c:barChart>
      <c:catAx>
        <c:axId val="3131860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6486570"/>
      </c:catAx>
      <c:valAx>
        <c:axId val="3464865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318606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Brigadeiro Tobias - Material predominante no piso do domicílio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'FAMÍLIAS - TABULAÇÃO'!$B$109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TABULAÇÃO'!$C$106:$J$106</c:f>
            </c:strRef>
          </c:cat>
          <c:val>
            <c:numRef>
              <c:f>'FAMÍLIAS - TABULAÇÃO'!$C$109:$J$109</c:f>
              <c:numCache/>
            </c:numRef>
          </c:val>
        </c:ser>
        <c:axId val="1045230884"/>
        <c:axId val="1156290931"/>
      </c:barChart>
      <c:catAx>
        <c:axId val="10452308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6290931"/>
      </c:catAx>
      <c:valAx>
        <c:axId val="11562909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23088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Cajuru - Material predominante no piso do domicílio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'FAMÍLIAS - TABULAÇÃO'!$B$110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TABULAÇÃO'!$C$106:$J$106</c:f>
            </c:strRef>
          </c:cat>
          <c:val>
            <c:numRef>
              <c:f>'FAMÍLIAS - TABULAÇÃO'!$C$110:$J$110</c:f>
              <c:numCache/>
            </c:numRef>
          </c:val>
        </c:ser>
        <c:axId val="696651579"/>
        <c:axId val="1986836365"/>
      </c:barChart>
      <c:catAx>
        <c:axId val="6966515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836365"/>
      </c:catAx>
      <c:valAx>
        <c:axId val="19868363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665157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Caranda - Material predominante no piso do domicílio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'FAMÍLIAS - TABULAÇÃO'!$B$111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TABULAÇÃO'!$C$106:$J$106</c:f>
            </c:strRef>
          </c:cat>
          <c:val>
            <c:numRef>
              <c:f>'FAMÍLIAS - TABULAÇÃO'!$C$111:$J$111</c:f>
              <c:numCache/>
            </c:numRef>
          </c:val>
        </c:ser>
        <c:axId val="1265099035"/>
        <c:axId val="814452923"/>
      </c:barChart>
      <c:catAx>
        <c:axId val="12650990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4452923"/>
      </c:catAx>
      <c:valAx>
        <c:axId val="8144529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509903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Ana P. Eleutério - Número de cômodos servindo como dormitório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TABULAÇÃO'!$B$75</c:f>
            </c:strRef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TABULAÇÃO'!$C$74:$G$74</c:f>
            </c:strRef>
          </c:cat>
          <c:val>
            <c:numRef>
              <c:f>'FAMÍLIAS - TABULAÇÃO'!$C$75:$G$75</c:f>
              <c:numCache/>
            </c:numRef>
          </c:val>
        </c:ser>
        <c:axId val="1173911369"/>
        <c:axId val="204025019"/>
      </c:barChart>
      <c:catAx>
        <c:axId val="11739113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025019"/>
      </c:catAx>
      <c:valAx>
        <c:axId val="204025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9113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Aparecidinha - Número de cômodos servindo como dormitório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TABULAÇÃO'!$B$76</c:f>
            </c:strRef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TABULAÇÃO'!$C$74:$G$74</c:f>
            </c:strRef>
          </c:cat>
          <c:val>
            <c:numRef>
              <c:f>'FAMÍLIAS - TABULAÇÃO'!$C$76:$G$76</c:f>
              <c:numCache/>
            </c:numRef>
          </c:val>
        </c:ser>
        <c:axId val="1883688598"/>
        <c:axId val="54002855"/>
      </c:barChart>
      <c:catAx>
        <c:axId val="1883688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02855"/>
      </c:catAx>
      <c:valAx>
        <c:axId val="540028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36885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chemeClr val="dk1"/>
                </a:solidFill>
                <a:latin typeface="+mn-lt"/>
              </a:defRPr>
            </a:pPr>
            <a:r>
              <a:rPr b="1" sz="1600">
                <a:solidFill>
                  <a:schemeClr val="dk1"/>
                </a:solidFill>
                <a:latin typeface="+mn-lt"/>
              </a:rPr>
              <a:t>Brigadeiro Tobias - Número de cômodos servindo como dormitório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TABULAÇÃO'!$B$77</c:f>
            </c:strRef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TABULAÇÃO'!$C$74:$G$74</c:f>
            </c:strRef>
          </c:cat>
          <c:val>
            <c:numRef>
              <c:f>'FAMÍLIAS - TABULAÇÃO'!$C$77:$G$77</c:f>
              <c:numCache/>
            </c:numRef>
          </c:val>
        </c:ser>
        <c:axId val="1191909056"/>
        <c:axId val="1279218110"/>
      </c:barChart>
      <c:catAx>
        <c:axId val="1191909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218110"/>
      </c:catAx>
      <c:valAx>
        <c:axId val="1279218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19090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Cajuru - Número de cômodos servindo como dormitório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TABULAÇÃO'!$B$78</c:f>
            </c:strRef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TABULAÇÃO'!$C$74:$G$74</c:f>
            </c:strRef>
          </c:cat>
          <c:val>
            <c:numRef>
              <c:f>'FAMÍLIAS - TABULAÇÃO'!$C$78:$G$78</c:f>
              <c:numCache/>
            </c:numRef>
          </c:val>
        </c:ser>
        <c:axId val="1717344041"/>
        <c:axId val="164430966"/>
      </c:barChart>
      <c:catAx>
        <c:axId val="1717344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430966"/>
      </c:catAx>
      <c:valAx>
        <c:axId val="1644309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3440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Caranda - Número de cômodos servindo como dormitório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TABULAÇÃO'!$B$79</c:f>
            </c:strRef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TABULAÇÃO'!$C$74:$G$74</c:f>
            </c:strRef>
          </c:cat>
          <c:val>
            <c:numRef>
              <c:f>'FAMÍLIAS - TABULAÇÃO'!$C$79:$G$79</c:f>
              <c:numCache/>
            </c:numRef>
          </c:val>
        </c:ser>
        <c:axId val="1971954851"/>
        <c:axId val="304949706"/>
      </c:barChart>
      <c:catAx>
        <c:axId val="1971954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4949706"/>
      </c:catAx>
      <c:valAx>
        <c:axId val="304949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19548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Ipiranga - Número de cômodos servindo como dormitório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TABULAÇÃO'!$B$80</c:f>
            </c:strRef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TABULAÇÃO'!$C$74:$G$74</c:f>
            </c:strRef>
          </c:cat>
          <c:val>
            <c:numRef>
              <c:f>'FAMÍLIAS - TABULAÇÃO'!$C$80:$G$80</c:f>
              <c:numCache/>
            </c:numRef>
          </c:val>
        </c:ser>
        <c:axId val="1682420392"/>
        <c:axId val="1752554681"/>
      </c:barChart>
      <c:catAx>
        <c:axId val="1682420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2554681"/>
      </c:catAx>
      <c:valAx>
        <c:axId val="1752554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24203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João Romão - Número de cômodos servindo como dormitório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TABULAÇÃO'!$B$74</c:f>
            </c:strRef>
          </c:tx>
          <c:invertIfNegative val="0"/>
          <c:cat>
            <c:strRef>
              <c:f>'FAMÍLIAS - TABULAÇÃO'!$C$74:$G$74</c:f>
            </c:strRef>
          </c:cat>
          <c:val>
            <c:numRef>
              <c:f>'FAMÍLIAS - TABULAÇÃO'!$C$74:$G$74</c:f>
              <c:numCache/>
            </c:numRef>
          </c:val>
        </c:ser>
        <c:axId val="1846378236"/>
        <c:axId val="1750979391"/>
      </c:barChart>
      <c:catAx>
        <c:axId val="1846378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0979391"/>
      </c:catAx>
      <c:valAx>
        <c:axId val="175097939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463782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Laranjeiras - Número de cômodos servindo como dormitório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TABULAÇÃO'!$B$81</c:f>
            </c:strRef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TABULAÇÃO'!$C$74:$G$74</c:f>
            </c:strRef>
          </c:cat>
          <c:val>
            <c:numRef>
              <c:f>'FAMÍLIAS - TABULAÇÃO'!$C$81:$G$81</c:f>
              <c:numCache/>
            </c:numRef>
          </c:val>
        </c:ser>
        <c:axId val="1542324124"/>
        <c:axId val="773530736"/>
      </c:barChart>
      <c:catAx>
        <c:axId val="1542324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3530736"/>
      </c:catAx>
      <c:valAx>
        <c:axId val="773530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23241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Nova Esperança - Número de cômodos servindo como dormitório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TABULAÇÃO'!$B$82</c:f>
            </c:strRef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TABULAÇÃO'!$C$74:$G$74</c:f>
            </c:strRef>
          </c:cat>
          <c:val>
            <c:numRef>
              <c:f>'FAMÍLIAS - TABULAÇÃO'!$C$82:$G$82</c:f>
              <c:numCache/>
            </c:numRef>
          </c:val>
        </c:ser>
        <c:axId val="2016169734"/>
        <c:axId val="959322818"/>
      </c:barChart>
      <c:catAx>
        <c:axId val="2016169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9322818"/>
      </c:catAx>
      <c:valAx>
        <c:axId val="959322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169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São Bento - Número de cômodos servindo como dormitório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'FAMÍLIAS - TABULAÇÃO'!$B$83</c:f>
            </c:strRef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TABULAÇÃO'!$C$74:$G$74</c:f>
            </c:strRef>
          </c:cat>
          <c:val>
            <c:numRef>
              <c:f>'FAMÍLIAS - TABULAÇÃO'!$C$83:$G$83</c:f>
              <c:numCache/>
            </c:numRef>
          </c:val>
        </c:ser>
        <c:ser>
          <c:idx val="1"/>
          <c:order val="1"/>
          <c:tx>
            <c:strRef>
              <c:f>'FAMÍLIAS - TABULAÇÃO'!$B$84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'FAMÍLIAS - TABULAÇÃO'!$C$74:$G$74</c:f>
            </c:strRef>
          </c:cat>
          <c:val>
            <c:numRef>
              <c:f>'FAMÍLIAS - TABULAÇÃO'!$C$84:$G$84</c:f>
              <c:numCache/>
            </c:numRef>
          </c:val>
        </c:ser>
        <c:axId val="830679382"/>
        <c:axId val="70014041"/>
      </c:barChart>
      <c:catAx>
        <c:axId val="830679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14041"/>
      </c:catAx>
      <c:valAx>
        <c:axId val="700140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6793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Vila Helena - Número de cômodos servindo como dormitório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TABULAÇÃO'!$B$85</c:f>
            </c:strRef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TABULAÇÃO'!$C$74:$G$74</c:f>
            </c:strRef>
          </c:cat>
          <c:val>
            <c:numRef>
              <c:f>'FAMÍLIAS - TABULAÇÃO'!$C$85:$G$85</c:f>
              <c:numCache/>
            </c:numRef>
          </c:val>
        </c:ser>
        <c:axId val="1559843703"/>
        <c:axId val="739288084"/>
      </c:barChart>
      <c:catAx>
        <c:axId val="1559843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9288084"/>
      </c:catAx>
      <c:valAx>
        <c:axId val="739288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98437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Vitória Régia - Número de cômodos servindo como dormitório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TABULAÇÃO'!$B$86</c:f>
            </c:strRef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TABULAÇÃO'!$C$74:$G$74</c:f>
            </c:strRef>
          </c:cat>
          <c:val>
            <c:numRef>
              <c:f>'FAMÍLIAS - TABULAÇÃO'!$C$86:$G$86</c:f>
              <c:numCache/>
            </c:numRef>
          </c:val>
        </c:ser>
        <c:axId val="538601358"/>
        <c:axId val="1776479872"/>
      </c:barChart>
      <c:catAx>
        <c:axId val="538601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479872"/>
      </c:catAx>
      <c:valAx>
        <c:axId val="1776479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6013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Ipiranga - Material predominante no piso do domicílio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'FAMÍLIAS - TABULAÇÃO'!$B$112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TABULAÇÃO'!$C$106:$J$106</c:f>
            </c:strRef>
          </c:cat>
          <c:val>
            <c:numRef>
              <c:f>'FAMÍLIAS - TABULAÇÃO'!$C$112:$J$112</c:f>
              <c:numCache/>
            </c:numRef>
          </c:val>
        </c:ser>
        <c:axId val="1219437695"/>
        <c:axId val="1948904364"/>
      </c:barChart>
      <c:catAx>
        <c:axId val="12194376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8904364"/>
      </c:catAx>
      <c:valAx>
        <c:axId val="19489043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94376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João Romão - Material predominante no piso do domicílio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'FAMÍLIAS - TABULAÇÃO'!$B$106</c:f>
            </c:strRef>
          </c:tx>
          <c:invertIfNegative val="0"/>
          <c:cat>
            <c:strRef>
              <c:f>'FAMÍLIAS - TABULAÇÃO'!$C$106:$J$106</c:f>
            </c:strRef>
          </c:cat>
          <c:val>
            <c:numRef>
              <c:f>'FAMÍLIAS - TABULAÇÃO'!$C$106:$J$106</c:f>
              <c:numCache/>
            </c:numRef>
          </c:val>
        </c:ser>
        <c:axId val="1917572298"/>
        <c:axId val="1257073951"/>
      </c:barChart>
      <c:catAx>
        <c:axId val="19175722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7073951"/>
      </c:catAx>
      <c:valAx>
        <c:axId val="1257073951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9175722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Laranjeiras - Material predominante no piso do domicílio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'FAMÍLIAS - TABULAÇÃO'!$B$113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TABULAÇÃO'!$C$106:$J$106</c:f>
            </c:strRef>
          </c:cat>
          <c:val>
            <c:numRef>
              <c:f>'FAMÍLIAS - TABULAÇÃO'!$C$113:$J$113</c:f>
              <c:numCache/>
            </c:numRef>
          </c:val>
        </c:ser>
        <c:axId val="773335483"/>
        <c:axId val="1316843722"/>
      </c:barChart>
      <c:catAx>
        <c:axId val="7733354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843722"/>
      </c:catAx>
      <c:valAx>
        <c:axId val="13168437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333548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Nova Esperança - Material predominante no piso do domicílio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'FAMÍLIAS - TABULAÇÃO'!$B$114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TABULAÇÃO'!$C$106:$J$106</c:f>
            </c:strRef>
          </c:cat>
          <c:val>
            <c:numRef>
              <c:f>'FAMÍLIAS - TABULAÇÃO'!$C$114:$J$114</c:f>
              <c:numCache/>
            </c:numRef>
          </c:val>
        </c:ser>
        <c:axId val="1848581495"/>
        <c:axId val="534257678"/>
      </c:barChart>
      <c:catAx>
        <c:axId val="18485814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4257678"/>
      </c:catAx>
      <c:valAx>
        <c:axId val="5342576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5814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São Bento - Material predominante no piso do domicílio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'FAMÍLIAS - TABULAÇÃO'!$B$115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TABULAÇÃO'!$C$106:$J$106</c:f>
            </c:strRef>
          </c:cat>
          <c:val>
            <c:numRef>
              <c:f>'FAMÍLIAS - TABULAÇÃO'!$C$115:$J$115</c:f>
              <c:numCache/>
            </c:numRef>
          </c:val>
        </c:ser>
        <c:ser>
          <c:idx val="1"/>
          <c:order val="1"/>
          <c:tx>
            <c:strRef>
              <c:f>'FAMÍLIAS - TABULAÇÃO'!$B$116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'FAMÍLIAS - TABULAÇÃO'!$C$106:$J$106</c:f>
            </c:strRef>
          </c:cat>
          <c:val>
            <c:numRef>
              <c:f>'FAMÍLIAS - TABULAÇÃO'!$C$116:$J$116</c:f>
              <c:numCache/>
            </c:numRef>
          </c:val>
        </c:ser>
        <c:axId val="1781728991"/>
        <c:axId val="2144740164"/>
      </c:barChart>
      <c:catAx>
        <c:axId val="17817289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4740164"/>
      </c:catAx>
      <c:valAx>
        <c:axId val="21447401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172899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Vila Helena - Material predominante no piso do domicílio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'FAMÍLIAS - TABULAÇÃO'!$B$117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TABULAÇÃO'!$C$106:$J$106</c:f>
            </c:strRef>
          </c:cat>
          <c:val>
            <c:numRef>
              <c:f>'FAMÍLIAS - TABULAÇÃO'!$C$117:$J$117</c:f>
              <c:numCache/>
            </c:numRef>
          </c:val>
        </c:ser>
        <c:axId val="707512788"/>
        <c:axId val="465926368"/>
      </c:barChart>
      <c:catAx>
        <c:axId val="7075127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5926368"/>
      </c:catAx>
      <c:valAx>
        <c:axId val="4659263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51278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Vitória Régia - Material predominante no piso do domicílio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'FAMÍLIAS - TABULAÇÃO'!$B$118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TABULAÇÃO'!$C$106:$J$106</c:f>
            </c:strRef>
          </c:cat>
          <c:val>
            <c:numRef>
              <c:f>'FAMÍLIAS - TABULAÇÃO'!$C$118:$J$118</c:f>
              <c:numCache/>
            </c:numRef>
          </c:val>
        </c:ser>
        <c:axId val="1433743480"/>
        <c:axId val="1062077968"/>
      </c:barChart>
      <c:catAx>
        <c:axId val="14337434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2077968"/>
      </c:catAx>
      <c:valAx>
        <c:axId val="10620779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74348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Água canalizada no domicílio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TABULAÇÃO'!$C$122:$D$122</c:f>
            </c:strRef>
          </c:cat>
          <c:val>
            <c:numRef>
              <c:f>'FAMÍLIAS - TABULAÇÃO'!$C$123:$D$123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chemeClr val="dk1"/>
                </a:solidFill>
                <a:latin typeface="+mn-lt"/>
              </a:defRPr>
            </a:pPr>
            <a:r>
              <a:rPr b="1" sz="1800">
                <a:solidFill>
                  <a:schemeClr val="dk1"/>
                </a:solidFill>
                <a:latin typeface="+mn-lt"/>
              </a:rPr>
              <a:t>Total de domicílios que não possuem água canalizada por território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TABULAÇÃO'!$D$122</c:f>
            </c:strRef>
          </c:tx>
          <c:spPr>
            <a:solidFill>
              <a:srgbClr val="A61C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TABULAÇÃO'!$B$123:$B$134</c:f>
            </c:strRef>
          </c:cat>
          <c:val>
            <c:numRef>
              <c:f>'FAMÍLIAS - TABULAÇÃO'!$D$123:$D$134</c:f>
              <c:numCache/>
            </c:numRef>
          </c:val>
        </c:ser>
        <c:axId val="531104601"/>
        <c:axId val="430945730"/>
      </c:barChart>
      <c:catAx>
        <c:axId val="5311046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0945730"/>
      </c:catAx>
      <c:valAx>
        <c:axId val="4309457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11046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Forma de abastecimento de agua</a:t>
            </a:r>
          </a:p>
        </c:rich>
      </c:tx>
      <c:overlay val="0"/>
    </c:title>
    <c:plotArea>
      <c:layout>
        <c:manualLayout>
          <c:xMode val="edge"/>
          <c:yMode val="edge"/>
          <c:x val="0.07391567183362129"/>
          <c:y val="0.10246084626432923"/>
          <c:w val="0.9036530691215162"/>
          <c:h val="0.8309623935681807"/>
        </c:manualLayout>
      </c:layout>
      <c:barChart>
        <c:barDir val="col"/>
        <c:varyColors val="0"/>
        <c:ser>
          <c:idx val="0"/>
          <c:order val="0"/>
          <c:spPr>
            <a:solidFill>
              <a:srgbClr val="E69138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TABULAÇÃO'!$C$138:$F$138</c:f>
            </c:strRef>
          </c:cat>
          <c:val>
            <c:numRef>
              <c:f>'FAMÍLIAS - TABULAÇÃO'!$C$139:$F$139</c:f>
              <c:numCache/>
            </c:numRef>
          </c:val>
        </c:ser>
        <c:axId val="776538728"/>
        <c:axId val="335838716"/>
      </c:barChart>
      <c:lineChart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'FAMÍLIAS - TABULAÇÃO'!$C$138:$F$138</c:f>
            </c:strRef>
          </c:cat>
          <c:val>
            <c:numRef>
              <c:f>'FAMÍLIAS - TABULAÇÃO'!$C$140:$F$140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'FAMÍLIAS - TABULAÇÃO'!$C$138:$F$138</c:f>
            </c:strRef>
          </c:cat>
          <c:val>
            <c:numRef>
              <c:f>'FAMÍLIAS - TABULAÇÃO'!$C$141:$F$141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'FAMÍLIAS - TABULAÇÃO'!$C$138:$F$138</c:f>
            </c:strRef>
          </c:cat>
          <c:val>
            <c:numRef>
              <c:f>'FAMÍLIAS - TABULAÇÃO'!$C$142:$F$142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'FAMÍLIAS - TABULAÇÃO'!$C$138:$F$138</c:f>
            </c:strRef>
          </c:cat>
          <c:val>
            <c:numRef>
              <c:f>'FAMÍLIAS - TABULAÇÃO'!$C$143:$F$143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'FAMÍLIAS - TABULAÇÃO'!$C$138:$F$138</c:f>
            </c:strRef>
          </c:cat>
          <c:val>
            <c:numRef>
              <c:f>'FAMÍLIAS - TABULAÇÃO'!$C$144:$F$144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'FAMÍLIAS - TABULAÇÃO'!$C$138:$F$138</c:f>
            </c:strRef>
          </c:cat>
          <c:val>
            <c:numRef>
              <c:f>'FAMÍLIAS - TABULAÇÃO'!$C$145:$F$145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'FAMÍLIAS - TABULAÇÃO'!$C$138:$F$138</c:f>
            </c:strRef>
          </c:cat>
          <c:val>
            <c:numRef>
              <c:f>'FAMÍLIAS - TABULAÇÃO'!$C$146:$F$146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'FAMÍLIAS - TABULAÇÃO'!$C$138:$F$138</c:f>
            </c:strRef>
          </c:cat>
          <c:val>
            <c:numRef>
              <c:f>'FAMÍLIAS - TABULAÇÃO'!$C$147:$F$147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'FAMÍLIAS - TABULAÇÃO'!$C$138:$F$138</c:f>
            </c:strRef>
          </c:cat>
          <c:val>
            <c:numRef>
              <c:f>'FAMÍLIAS - TABULAÇÃO'!$C$148:$F$148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'FAMÍLIAS - TABULAÇÃO'!$C$138:$F$138</c:f>
            </c:strRef>
          </c:cat>
          <c:val>
            <c:numRef>
              <c:f>'FAMÍLIAS - TABULAÇÃO'!$C$149:$F$149</c:f>
              <c:numCache/>
            </c:numRef>
          </c:val>
          <c:smooth val="0"/>
        </c:ser>
        <c:ser>
          <c:idx val="11"/>
          <c:order val="11"/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'FAMÍLIAS - TABULAÇÃO'!$C$138:$F$138</c:f>
            </c:strRef>
          </c:cat>
          <c:val>
            <c:numRef>
              <c:f>'FAMÍLIAS - TABULAÇÃO'!$C$150:$F$150</c:f>
              <c:numCache/>
            </c:numRef>
          </c:val>
          <c:smooth val="0"/>
        </c:ser>
        <c:ser>
          <c:idx val="12"/>
          <c:order val="12"/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'FAMÍLIAS - TABULAÇÃO'!$C$138:$F$138</c:f>
            </c:strRef>
          </c:cat>
          <c:val>
            <c:numRef>
              <c:f>'FAMÍLIAS - TABULAÇÃO'!$C$151:$F$151</c:f>
              <c:numCache/>
            </c:numRef>
          </c:val>
          <c:smooth val="0"/>
        </c:ser>
        <c:axId val="776538728"/>
        <c:axId val="335838716"/>
      </c:lineChart>
      <c:catAx>
        <c:axId val="776538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838716"/>
      </c:catAx>
      <c:valAx>
        <c:axId val="335838716"/>
        <c:scaling>
          <c:orientation val="minMax"/>
          <c:max val="40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5387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Rede geral de distribuição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TABULAÇÃO'!$C$138</c:f>
            </c:strRef>
          </c:tx>
          <c:spPr>
            <a:solidFill>
              <a:srgbClr val="134F5C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TABULAÇÃO'!$B$139:$B$150</c:f>
            </c:strRef>
          </c:cat>
          <c:val>
            <c:numRef>
              <c:f>'FAMÍLIAS - TABULAÇÃO'!$C$139:$C$150</c:f>
              <c:numCache/>
            </c:numRef>
          </c:val>
        </c:ser>
        <c:axId val="368803864"/>
        <c:axId val="1513248939"/>
      </c:barChart>
      <c:catAx>
        <c:axId val="368803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3248939"/>
      </c:catAx>
      <c:valAx>
        <c:axId val="1513248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Rede geral de distribuicao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88038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Poço ou nascente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TABULAÇÃO'!$D$138</c:f>
            </c:strRef>
          </c:tx>
          <c:spPr>
            <a:solidFill>
              <a:srgbClr val="1C4587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TABULAÇÃO'!$B$139:$B$150</c:f>
            </c:strRef>
          </c:cat>
          <c:val>
            <c:numRef>
              <c:f>'FAMÍLIAS - TABULAÇÃO'!$D$139:$D$150</c:f>
              <c:numCache/>
            </c:numRef>
          </c:val>
        </c:ser>
        <c:axId val="618206343"/>
        <c:axId val="2035293008"/>
      </c:barChart>
      <c:catAx>
        <c:axId val="618206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5293008"/>
      </c:catAx>
      <c:valAx>
        <c:axId val="20352930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Poço ou nascente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82063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Cisterna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TABULAÇÃO'!$E$137:$E$138</c:f>
            </c:strRef>
          </c:tx>
          <c:spPr>
            <a:solidFill>
              <a:srgbClr val="20124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TABULAÇÃO'!$B$139:$B$150</c:f>
            </c:strRef>
          </c:cat>
          <c:val>
            <c:numRef>
              <c:f>'FAMÍLIAS - TABULAÇÃO'!$E$139:$E$150</c:f>
              <c:numCache/>
            </c:numRef>
          </c:val>
        </c:ser>
        <c:axId val="838068359"/>
        <c:axId val="930116976"/>
      </c:barChart>
      <c:catAx>
        <c:axId val="838068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0116976"/>
      </c:catAx>
      <c:valAx>
        <c:axId val="930116976"/>
        <c:scaling>
          <c:orientation val="minMax"/>
          <c:max val="1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Cisterna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80683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Outra forma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TABULAÇÃO'!$F$137:$F$138</c:f>
            </c:strRef>
          </c:tx>
          <c:spPr>
            <a:solidFill>
              <a:srgbClr val="4C113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TABULAÇÃO'!$B$139:$B$150</c:f>
            </c:strRef>
          </c:cat>
          <c:val>
            <c:numRef>
              <c:f>'FAMÍLIAS - TABULAÇÃO'!$F$139:$F$150</c:f>
              <c:numCache/>
            </c:numRef>
          </c:val>
        </c:ser>
        <c:axId val="367910974"/>
        <c:axId val="1002034630"/>
      </c:barChart>
      <c:catAx>
        <c:axId val="367910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2034630"/>
      </c:catAx>
      <c:valAx>
        <c:axId val="1002034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Outra forma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9109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Existência de banheiro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'FAMÍLIAS - TABULAÇÃO'!$C$154:$D$154</c:f>
            </c:strRef>
          </c:cat>
          <c:val>
            <c:numRef>
              <c:f>'FAMÍLIAS - TABULAÇÃO'!$C$155:$D$155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Não possuem banheiro por território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rgbClr val="B45F0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TABULAÇÃO'!$B$155:$B$166</c:f>
            </c:strRef>
          </c:cat>
          <c:val>
            <c:numRef>
              <c:f>'FAMÍLIAS - TABULAÇÃO'!$D$155:$D$166</c:f>
              <c:numCache/>
            </c:numRef>
          </c:val>
        </c:ser>
        <c:axId val="503849946"/>
        <c:axId val="1329307599"/>
      </c:barChart>
      <c:catAx>
        <c:axId val="503849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307599"/>
      </c:catAx>
      <c:valAx>
        <c:axId val="13293075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38499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Forma de escoamento sanitário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TABULAÇÃO'!$B$183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TABULAÇÃO'!$C$170:$H$170</c:f>
            </c:strRef>
          </c:cat>
          <c:val>
            <c:numRef>
              <c:f>'FAMÍLIAS - TABULAÇÃO'!$C$183:$H$183</c:f>
              <c:numCache/>
            </c:numRef>
          </c:val>
        </c:ser>
        <c:axId val="699224038"/>
        <c:axId val="151786499"/>
      </c:barChart>
      <c:catAx>
        <c:axId val="699224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786499"/>
      </c:catAx>
      <c:valAx>
        <c:axId val="151786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92240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Rede coletora de esgoto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TABULAÇÃO'!$C$170</c:f>
            </c:strRef>
          </c:tx>
          <c:spPr>
            <a:solidFill>
              <a:srgbClr val="0B539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TABULAÇÃO'!$B$171:$B$182</c:f>
            </c:strRef>
          </c:cat>
          <c:val>
            <c:numRef>
              <c:f>'FAMÍLIAS - TABULAÇÃO'!$C$171:$C$182</c:f>
              <c:numCache/>
            </c:numRef>
          </c:val>
        </c:ser>
        <c:axId val="384195944"/>
        <c:axId val="2137505506"/>
      </c:barChart>
      <c:catAx>
        <c:axId val="384195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7505506"/>
      </c:catAx>
      <c:valAx>
        <c:axId val="2137505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Rede coletora de esgoto ou pluvial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41959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Fossa séptica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TABULAÇÃO'!$D$170</c:f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TABULAÇÃO'!$B$171:$B$182</c:f>
            </c:strRef>
          </c:cat>
          <c:val>
            <c:numRef>
              <c:f>'FAMÍLIAS - TABULAÇÃO'!$D$171:$D$182</c:f>
              <c:numCache/>
            </c:numRef>
          </c:val>
        </c:ser>
        <c:axId val="207958504"/>
        <c:axId val="1814066492"/>
      </c:barChart>
      <c:catAx>
        <c:axId val="207958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4066492"/>
      </c:catAx>
      <c:valAx>
        <c:axId val="18140664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Fossa septica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58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Fossa rudimentar 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TABULAÇÃO'!$E$169:$E$170</c:f>
            </c:strRef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TABULAÇÃO'!$B$171:$B$182</c:f>
            </c:strRef>
          </c:cat>
          <c:val>
            <c:numRef>
              <c:f>'FAMÍLIAS - TABULAÇÃO'!$E$171:$E$182</c:f>
              <c:numCache/>
            </c:numRef>
          </c:val>
        </c:ser>
        <c:axId val="1957693882"/>
        <c:axId val="478053904"/>
      </c:barChart>
      <c:catAx>
        <c:axId val="1957693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053904"/>
      </c:catAx>
      <c:valAx>
        <c:axId val="478053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Fossa rudimentar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693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Direto para um rio, lago ou mar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TABULAÇÃO'!$G$169:$G$170</c:f>
            </c:strRef>
          </c:tx>
          <c:spPr>
            <a:solidFill>
              <a:srgbClr val="351C7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TABULAÇÃO'!$B$171:$B$182</c:f>
            </c:strRef>
          </c:cat>
          <c:val>
            <c:numRef>
              <c:f>'FAMÍLIAS - TABULAÇÃO'!$G$171:$G$182</c:f>
              <c:numCache/>
            </c:numRef>
          </c:val>
        </c:ser>
        <c:axId val="1356871227"/>
        <c:axId val="528890645"/>
      </c:barChart>
      <c:catAx>
        <c:axId val="13568712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890645"/>
      </c:catAx>
      <c:valAx>
        <c:axId val="528890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Direto para um rio, lago ou mar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68712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Outra forma 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TABULAÇÃO'!$H$169:$H$170</c:f>
            </c:strRef>
          </c:tx>
          <c:spPr>
            <a:solidFill>
              <a:srgbClr val="783F0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TABULAÇÃO'!$B$171:$B$182</c:f>
            </c:strRef>
          </c:cat>
          <c:val>
            <c:numRef>
              <c:f>'FAMÍLIAS - TABULAÇÃO'!$H$171:$H$182</c:f>
              <c:numCache/>
            </c:numRef>
          </c:val>
        </c:ser>
        <c:axId val="85942619"/>
        <c:axId val="1854138278"/>
      </c:barChart>
      <c:catAx>
        <c:axId val="85942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4138278"/>
      </c:catAx>
      <c:valAx>
        <c:axId val="18541382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Outra forma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9426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Forma de coleta do lixo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TABULAÇÃO'!$B$199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TABULAÇÃO'!$C$186:$H$186</c:f>
            </c:strRef>
          </c:cat>
          <c:val>
            <c:numRef>
              <c:f>'FAMÍLIAS - TABULAÇÃO'!$C$199:$H$199</c:f>
              <c:numCache/>
            </c:numRef>
          </c:val>
        </c:ser>
        <c:axId val="581692458"/>
        <c:axId val="529388173"/>
      </c:barChart>
      <c:catAx>
        <c:axId val="581692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9388173"/>
      </c:catAx>
      <c:valAx>
        <c:axId val="529388173"/>
        <c:scaling>
          <c:orientation val="minMax"/>
          <c:max val="45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6924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É coletado diretamente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TABULAÇÃO'!$C$186</c:f>
            </c:strRef>
          </c:tx>
          <c:spPr>
            <a:solidFill>
              <a:srgbClr val="9800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TABULAÇÃO'!$B$187:$B$198</c:f>
            </c:strRef>
          </c:cat>
          <c:val>
            <c:numRef>
              <c:f>'FAMÍLIAS - TABULAÇÃO'!$C$187:$C$198</c:f>
              <c:numCache/>
            </c:numRef>
          </c:val>
        </c:ser>
        <c:axId val="969541458"/>
        <c:axId val="1435922396"/>
      </c:barChart>
      <c:catAx>
        <c:axId val="969541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5922396"/>
      </c:catAx>
      <c:valAx>
        <c:axId val="1435922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É coletado diretamente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95414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É coletado indiretamente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TABULAÇÃO'!$D$185:$D$186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TABULAÇÃO'!$B$187:$B$198</c:f>
            </c:strRef>
          </c:cat>
          <c:val>
            <c:numRef>
              <c:f>'FAMÍLIAS - TABULAÇÃO'!$D$187:$D$198</c:f>
              <c:numCache/>
            </c:numRef>
          </c:val>
        </c:ser>
        <c:axId val="891363762"/>
        <c:axId val="1535060022"/>
      </c:barChart>
      <c:catAx>
        <c:axId val="891363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5060022"/>
      </c:catAx>
      <c:valAx>
        <c:axId val="1535060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É coletado indiretamente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1363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É queimado ou enterrado na propriedade versus Unidade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TABULAÇÃO'!$E$185:$E$186</c:f>
            </c:strRef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TABULAÇÃO'!$B$187:$B$198</c:f>
            </c:strRef>
          </c:cat>
          <c:val>
            <c:numRef>
              <c:f>'FAMÍLIAS - TABULAÇÃO'!$E$187:$E$198</c:f>
              <c:numCache/>
            </c:numRef>
          </c:val>
        </c:ser>
        <c:axId val="1642116388"/>
        <c:axId val="542560392"/>
      </c:barChart>
      <c:catAx>
        <c:axId val="1642116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560392"/>
      </c:catAx>
      <c:valAx>
        <c:axId val="542560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É queimado ou enterrado na propriedade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1163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É jogado em terreno baldio ou logradouro (rua, avenida, etc.)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TABULAÇÃO'!$F$185:$F$186</c:f>
            </c:strRef>
          </c:tx>
          <c:spPr>
            <a:solidFill>
              <a:srgbClr val="741B47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TABULAÇÃO'!$B$187:$B$198</c:f>
            </c:strRef>
          </c:cat>
          <c:val>
            <c:numRef>
              <c:f>'FAMÍLIAS - TABULAÇÃO'!$F$187:$F$198</c:f>
              <c:numCache/>
            </c:numRef>
          </c:val>
        </c:ser>
        <c:axId val="1749650227"/>
        <c:axId val="502980338"/>
      </c:barChart>
      <c:catAx>
        <c:axId val="17496502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980338"/>
      </c:catAx>
      <c:valAx>
        <c:axId val="502980338"/>
        <c:scaling>
          <c:orientation val="minMax"/>
          <c:max val="1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É jogado em terreno baldio ou logradouro (rua, avenida, etc.)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96502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É jogado em rio ou mar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TABULAÇÃO'!$G$185:$G$186</c:f>
            </c:strRef>
          </c:tx>
          <c:spPr>
            <a:solidFill>
              <a:srgbClr val="38761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TABULAÇÃO'!$B$187:$B$198</c:f>
            </c:strRef>
          </c:cat>
          <c:val>
            <c:numRef>
              <c:f>'FAMÍLIAS - TABULAÇÃO'!$G$187:$G$198</c:f>
              <c:numCache/>
            </c:numRef>
          </c:val>
        </c:ser>
        <c:axId val="1967432654"/>
        <c:axId val="1733167557"/>
      </c:barChart>
      <c:catAx>
        <c:axId val="1967432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3167557"/>
      </c:catAx>
      <c:valAx>
        <c:axId val="1733167557"/>
        <c:scaling>
          <c:orientation val="minMax"/>
          <c:max val="1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É jogado em rio ou mar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74326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Tem outro destino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TABULAÇÃO'!$H$185:$H$186</c:f>
            </c:strRef>
          </c:tx>
          <c:spPr>
            <a:solidFill>
              <a:srgbClr val="45818E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TABULAÇÃO'!$B$187:$B$198</c:f>
            </c:strRef>
          </c:cat>
          <c:val>
            <c:numRef>
              <c:f>'FAMÍLIAS - TABULAÇÃO'!$H$187:$H$198</c:f>
              <c:numCache/>
            </c:numRef>
          </c:val>
        </c:ser>
        <c:axId val="1316640852"/>
        <c:axId val="549812187"/>
      </c:barChart>
      <c:catAx>
        <c:axId val="1316640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9812187"/>
      </c:catAx>
      <c:valAx>
        <c:axId val="549812187"/>
        <c:scaling>
          <c:orientation val="minMax"/>
          <c:max val="1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 outro destino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6408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Total 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TABULAÇÃO'!$B$215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TABULAÇÃO'!$C$202:$H$202</c:f>
            </c:strRef>
          </c:cat>
          <c:val>
            <c:numRef>
              <c:f>'FAMÍLIAS - TABULAÇÃO'!$C$215:$H$215</c:f>
              <c:numCache/>
            </c:numRef>
          </c:val>
        </c:ser>
        <c:axId val="638899020"/>
        <c:axId val="1866375022"/>
      </c:barChart>
      <c:catAx>
        <c:axId val="638899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375022"/>
      </c:catAx>
      <c:valAx>
        <c:axId val="1866375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8990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Elétrica com medidor próprio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TABULAÇÃO'!$C$202</c:f>
            </c:strRef>
          </c:tx>
          <c:spPr>
            <a:solidFill>
              <a:srgbClr val="1155CC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TABULAÇÃO'!$B$203:$B$214</c:f>
            </c:strRef>
          </c:cat>
          <c:val>
            <c:numRef>
              <c:f>'FAMÍLIAS - TABULAÇÃO'!$C$203:$C$214</c:f>
              <c:numCache/>
            </c:numRef>
          </c:val>
        </c:ser>
        <c:axId val="2044969497"/>
        <c:axId val="320789150"/>
      </c:barChart>
      <c:catAx>
        <c:axId val="2044969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0789150"/>
      </c:catAx>
      <c:valAx>
        <c:axId val="320789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Elétrica com medidor próprio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49694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Elétrica com medidor comunitário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TABULAÇÃO'!$D$201:$D$202</c:f>
            </c:strRef>
          </c:tx>
          <c:spPr>
            <a:solidFill>
              <a:srgbClr val="CC412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TABULAÇÃO'!$B$203:$B$214</c:f>
            </c:strRef>
          </c:cat>
          <c:val>
            <c:numRef>
              <c:f>'FAMÍLIAS - TABULAÇÃO'!$D$203:$D$214</c:f>
              <c:numCache/>
            </c:numRef>
          </c:val>
        </c:ser>
        <c:axId val="1929968292"/>
        <c:axId val="1784765128"/>
      </c:barChart>
      <c:catAx>
        <c:axId val="1929968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4765128"/>
      </c:catAx>
      <c:valAx>
        <c:axId val="1784765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Elétrica com medidor comunitário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99682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Elétrica sem medidor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TABULAÇÃO'!$E$201:$E$202</c:f>
            </c:strRef>
          </c:tx>
          <c:spPr>
            <a:solidFill>
              <a:srgbClr val="674EA7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TABULAÇÃO'!$B$203:$B$214</c:f>
            </c:strRef>
          </c:cat>
          <c:val>
            <c:numRef>
              <c:f>'FAMÍLIAS - TABULAÇÃO'!$E$203:$E$214</c:f>
              <c:numCache/>
            </c:numRef>
          </c:val>
        </c:ser>
        <c:axId val="1182537057"/>
        <c:axId val="1657704215"/>
      </c:barChart>
      <c:catAx>
        <c:axId val="1182537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7704215"/>
      </c:catAx>
      <c:valAx>
        <c:axId val="1657704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Elétrica sem medidor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25370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Óleo, querosene ou gás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TABULAÇÃO'!$F$201:$F$202</c:f>
            </c:strRef>
          </c:tx>
          <c:spPr>
            <a:solidFill>
              <a:srgbClr val="9900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TABULAÇÃO'!$B$203:$B$214</c:f>
            </c:strRef>
          </c:cat>
          <c:val>
            <c:numRef>
              <c:f>'FAMÍLIAS - TABULAÇÃO'!$F$203:$F$214</c:f>
              <c:numCache/>
            </c:numRef>
          </c:val>
        </c:ser>
        <c:axId val="490099946"/>
        <c:axId val="734344743"/>
      </c:barChart>
      <c:catAx>
        <c:axId val="490099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4344743"/>
      </c:catAx>
      <c:valAx>
        <c:axId val="734344743"/>
        <c:scaling>
          <c:orientation val="minMax"/>
          <c:max val="1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Óleo, querosene ou gas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0999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Vela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TABULAÇÃO'!$G$201:$G$202</c:f>
            </c:strRef>
          </c:tx>
          <c:spPr>
            <a:solidFill>
              <a:srgbClr val="45818E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TABULAÇÃO'!$B$203:$B$214</c:f>
            </c:strRef>
          </c:cat>
          <c:val>
            <c:numRef>
              <c:f>'FAMÍLIAS - TABULAÇÃO'!$G$203:$G$214</c:f>
              <c:numCache/>
            </c:numRef>
          </c:val>
        </c:ser>
        <c:axId val="1055645025"/>
        <c:axId val="2094728551"/>
      </c:barChart>
      <c:catAx>
        <c:axId val="1055645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4728551"/>
      </c:catAx>
      <c:valAx>
        <c:axId val="2094728551"/>
        <c:scaling>
          <c:orientation val="minMax"/>
          <c:max val="1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6450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Outra forma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TABULAÇÃO'!$H$201:$H$202</c:f>
            </c:strRef>
          </c:tx>
          <c:spPr>
            <a:solidFill>
              <a:srgbClr val="B45F0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TABULAÇÃO'!$B$203:$B$214</c:f>
            </c:strRef>
          </c:cat>
          <c:val>
            <c:numRef>
              <c:f>'FAMÍLIAS - TABULAÇÃO'!$H$203:$H$214</c:f>
              <c:numCache/>
            </c:numRef>
          </c:val>
        </c:ser>
        <c:axId val="1184236123"/>
        <c:axId val="1524418790"/>
      </c:barChart>
      <c:catAx>
        <c:axId val="1184236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4418790"/>
      </c:catAx>
      <c:valAx>
        <c:axId val="1524418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Outra forma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42361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Total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TABULAÇÃO'!$B$231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TABULAÇÃO'!$C$218:$E$218</c:f>
            </c:strRef>
          </c:cat>
          <c:val>
            <c:numRef>
              <c:f>'FAMÍLIAS - TABULAÇÃO'!$C$231:$E$231</c:f>
              <c:numCache/>
            </c:numRef>
          </c:val>
        </c:ser>
        <c:axId val="1005869003"/>
        <c:axId val="1343384988"/>
      </c:barChart>
      <c:catAx>
        <c:axId val="1005869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3384988"/>
      </c:catAx>
      <c:valAx>
        <c:axId val="1343384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8690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Calçamento em frente ao seu domicílio - Total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TABULAÇÃO'!$C$218</c:f>
            </c:strRef>
          </c:tx>
          <c:spPr>
            <a:solidFill>
              <a:srgbClr val="0B539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TABULAÇÃO'!$B$219:$B$230</c:f>
            </c:strRef>
          </c:cat>
          <c:val>
            <c:numRef>
              <c:f>'FAMÍLIAS - TABULAÇÃO'!$C$219:$C$230</c:f>
              <c:numCache/>
            </c:numRef>
          </c:val>
        </c:ser>
        <c:axId val="1704485706"/>
        <c:axId val="424598441"/>
      </c:barChart>
      <c:catAx>
        <c:axId val="1704485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598441"/>
      </c:catAx>
      <c:valAx>
        <c:axId val="424598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Calçamento em frente ao seu domicílio/Total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44857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Calçamento em frente ao seu domicílio - Parcial 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TABULAÇÃO'!$D$218</c:f>
            </c:strRef>
          </c:tx>
          <c:spPr>
            <a:solidFill>
              <a:srgbClr val="351C7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TABULAÇÃO'!$B$219:$B$230</c:f>
            </c:strRef>
          </c:cat>
          <c:val>
            <c:numRef>
              <c:f>'FAMÍLIAS - TABULAÇÃO'!$D$219:$D$230</c:f>
              <c:numCache/>
            </c:numRef>
          </c:val>
        </c:ser>
        <c:axId val="719335624"/>
        <c:axId val="2003114035"/>
      </c:barChart>
      <c:catAx>
        <c:axId val="719335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Calçamento em frente ao seu domicílio/Unidade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3114035"/>
      </c:catAx>
      <c:valAx>
        <c:axId val="20031140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Calçamento em frente ao seu domicílio/Parcial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93356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Calçamento em frente ao seu domicílio - Não existe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'FAMÍLIAS - TABULAÇÃO'!$E$217:$E$218</c:f>
            </c:strRef>
          </c:tx>
          <c:spPr>
            <a:solidFill>
              <a:srgbClr val="85200C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'FAMÍLIAS - TABULAÇÃO'!$B$219:$B$230</c:f>
            </c:strRef>
          </c:cat>
          <c:val>
            <c:numRef>
              <c:f>'FAMÍLIAS - TABULAÇÃO'!$E$219:$E$230</c:f>
              <c:numCache/>
            </c:numRef>
          </c:val>
        </c:ser>
        <c:axId val="737829"/>
        <c:axId val="705691471"/>
      </c:barChart>
      <c:catAx>
        <c:axId val="7378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Calçamento em frente ao seu domicílio/Unidade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5691471"/>
      </c:catAx>
      <c:valAx>
        <c:axId val="705691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Calçamento em frente ao seu domicílio/Não existe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8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chart" Target="../charts/chart40.xml"/><Relationship Id="rId42" Type="http://schemas.openxmlformats.org/officeDocument/2006/relationships/chart" Target="../charts/chart42.xml"/><Relationship Id="rId41" Type="http://schemas.openxmlformats.org/officeDocument/2006/relationships/chart" Target="../charts/chart41.xml"/><Relationship Id="rId44" Type="http://schemas.openxmlformats.org/officeDocument/2006/relationships/chart" Target="../charts/chart44.xml"/><Relationship Id="rId43" Type="http://schemas.openxmlformats.org/officeDocument/2006/relationships/chart" Target="../charts/chart43.xml"/><Relationship Id="rId46" Type="http://schemas.openxmlformats.org/officeDocument/2006/relationships/chart" Target="../charts/chart46.xml"/><Relationship Id="rId45" Type="http://schemas.openxmlformats.org/officeDocument/2006/relationships/chart" Target="../charts/chart45.xml"/><Relationship Id="rId48" Type="http://schemas.openxmlformats.org/officeDocument/2006/relationships/chart" Target="../charts/chart48.xml"/><Relationship Id="rId47" Type="http://schemas.openxmlformats.org/officeDocument/2006/relationships/chart" Target="../charts/chart47.xml"/><Relationship Id="rId49" Type="http://schemas.openxmlformats.org/officeDocument/2006/relationships/chart" Target="../charts/chart49.xml"/><Relationship Id="rId31" Type="http://schemas.openxmlformats.org/officeDocument/2006/relationships/chart" Target="../charts/chart31.xml"/><Relationship Id="rId30" Type="http://schemas.openxmlformats.org/officeDocument/2006/relationships/chart" Target="../charts/chart30.xml"/><Relationship Id="rId33" Type="http://schemas.openxmlformats.org/officeDocument/2006/relationships/chart" Target="../charts/chart33.xml"/><Relationship Id="rId32" Type="http://schemas.openxmlformats.org/officeDocument/2006/relationships/chart" Target="../charts/chart32.xml"/><Relationship Id="rId35" Type="http://schemas.openxmlformats.org/officeDocument/2006/relationships/chart" Target="../charts/chart35.xml"/><Relationship Id="rId34" Type="http://schemas.openxmlformats.org/officeDocument/2006/relationships/chart" Target="../charts/chart34.xml"/><Relationship Id="rId37" Type="http://schemas.openxmlformats.org/officeDocument/2006/relationships/chart" Target="../charts/chart37.xml"/><Relationship Id="rId36" Type="http://schemas.openxmlformats.org/officeDocument/2006/relationships/chart" Target="../charts/chart36.xml"/><Relationship Id="rId39" Type="http://schemas.openxmlformats.org/officeDocument/2006/relationships/chart" Target="../charts/chart39.xml"/><Relationship Id="rId38" Type="http://schemas.openxmlformats.org/officeDocument/2006/relationships/chart" Target="../charts/chart38.xml"/><Relationship Id="rId20" Type="http://schemas.openxmlformats.org/officeDocument/2006/relationships/chart" Target="../charts/chart20.xml"/><Relationship Id="rId22" Type="http://schemas.openxmlformats.org/officeDocument/2006/relationships/chart" Target="../charts/chart22.xml"/><Relationship Id="rId21" Type="http://schemas.openxmlformats.org/officeDocument/2006/relationships/chart" Target="../charts/chart21.xml"/><Relationship Id="rId24" Type="http://schemas.openxmlformats.org/officeDocument/2006/relationships/chart" Target="../charts/chart24.xml"/><Relationship Id="rId23" Type="http://schemas.openxmlformats.org/officeDocument/2006/relationships/chart" Target="../charts/chart23.xml"/><Relationship Id="rId26" Type="http://schemas.openxmlformats.org/officeDocument/2006/relationships/chart" Target="../charts/chart26.xml"/><Relationship Id="rId25" Type="http://schemas.openxmlformats.org/officeDocument/2006/relationships/chart" Target="../charts/chart25.xml"/><Relationship Id="rId28" Type="http://schemas.openxmlformats.org/officeDocument/2006/relationships/chart" Target="../charts/chart28.xml"/><Relationship Id="rId27" Type="http://schemas.openxmlformats.org/officeDocument/2006/relationships/chart" Target="../charts/chart27.xml"/><Relationship Id="rId29" Type="http://schemas.openxmlformats.org/officeDocument/2006/relationships/chart" Target="../charts/chart29.xml"/><Relationship Id="rId95" Type="http://schemas.openxmlformats.org/officeDocument/2006/relationships/chart" Target="../charts/chart95.xml"/><Relationship Id="rId94" Type="http://schemas.openxmlformats.org/officeDocument/2006/relationships/chart" Target="../charts/chart94.xml"/><Relationship Id="rId97" Type="http://schemas.openxmlformats.org/officeDocument/2006/relationships/chart" Target="../charts/chart97.xml"/><Relationship Id="rId96" Type="http://schemas.openxmlformats.org/officeDocument/2006/relationships/chart" Target="../charts/chart96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98" Type="http://schemas.openxmlformats.org/officeDocument/2006/relationships/chart" Target="../charts/chart98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91" Type="http://schemas.openxmlformats.org/officeDocument/2006/relationships/chart" Target="../charts/chart91.xml"/><Relationship Id="rId90" Type="http://schemas.openxmlformats.org/officeDocument/2006/relationships/chart" Target="../charts/chart90.xml"/><Relationship Id="rId93" Type="http://schemas.openxmlformats.org/officeDocument/2006/relationships/chart" Target="../charts/chart93.xml"/><Relationship Id="rId92" Type="http://schemas.openxmlformats.org/officeDocument/2006/relationships/chart" Target="../charts/chart92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19" Type="http://schemas.openxmlformats.org/officeDocument/2006/relationships/chart" Target="../charts/chart19.xml"/><Relationship Id="rId18" Type="http://schemas.openxmlformats.org/officeDocument/2006/relationships/chart" Target="../charts/chart18.xml"/><Relationship Id="rId84" Type="http://schemas.openxmlformats.org/officeDocument/2006/relationships/chart" Target="../charts/chart84.xml"/><Relationship Id="rId83" Type="http://schemas.openxmlformats.org/officeDocument/2006/relationships/chart" Target="../charts/chart83.xml"/><Relationship Id="rId86" Type="http://schemas.openxmlformats.org/officeDocument/2006/relationships/chart" Target="../charts/chart86.xml"/><Relationship Id="rId85" Type="http://schemas.openxmlformats.org/officeDocument/2006/relationships/chart" Target="../charts/chart85.xml"/><Relationship Id="rId88" Type="http://schemas.openxmlformats.org/officeDocument/2006/relationships/chart" Target="../charts/chart88.xml"/><Relationship Id="rId87" Type="http://schemas.openxmlformats.org/officeDocument/2006/relationships/chart" Target="../charts/chart87.xml"/><Relationship Id="rId89" Type="http://schemas.openxmlformats.org/officeDocument/2006/relationships/chart" Target="../charts/chart89.xml"/><Relationship Id="rId80" Type="http://schemas.openxmlformats.org/officeDocument/2006/relationships/chart" Target="../charts/chart80.xml"/><Relationship Id="rId82" Type="http://schemas.openxmlformats.org/officeDocument/2006/relationships/chart" Target="../charts/chart82.xml"/><Relationship Id="rId81" Type="http://schemas.openxmlformats.org/officeDocument/2006/relationships/chart" Target="../charts/chart81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73" Type="http://schemas.openxmlformats.org/officeDocument/2006/relationships/chart" Target="../charts/chart73.xml"/><Relationship Id="rId72" Type="http://schemas.openxmlformats.org/officeDocument/2006/relationships/chart" Target="../charts/chart72.xml"/><Relationship Id="rId75" Type="http://schemas.openxmlformats.org/officeDocument/2006/relationships/chart" Target="../charts/chart75.xml"/><Relationship Id="rId74" Type="http://schemas.openxmlformats.org/officeDocument/2006/relationships/chart" Target="../charts/chart74.xml"/><Relationship Id="rId77" Type="http://schemas.openxmlformats.org/officeDocument/2006/relationships/chart" Target="../charts/chart77.xml"/><Relationship Id="rId76" Type="http://schemas.openxmlformats.org/officeDocument/2006/relationships/chart" Target="../charts/chart76.xml"/><Relationship Id="rId79" Type="http://schemas.openxmlformats.org/officeDocument/2006/relationships/chart" Target="../charts/chart79.xml"/><Relationship Id="rId78" Type="http://schemas.openxmlformats.org/officeDocument/2006/relationships/chart" Target="../charts/chart78.xml"/><Relationship Id="rId71" Type="http://schemas.openxmlformats.org/officeDocument/2006/relationships/chart" Target="../charts/chart71.xml"/><Relationship Id="rId70" Type="http://schemas.openxmlformats.org/officeDocument/2006/relationships/chart" Target="../charts/chart70.xml"/><Relationship Id="rId62" Type="http://schemas.openxmlformats.org/officeDocument/2006/relationships/chart" Target="../charts/chart62.xml"/><Relationship Id="rId61" Type="http://schemas.openxmlformats.org/officeDocument/2006/relationships/chart" Target="../charts/chart61.xml"/><Relationship Id="rId64" Type="http://schemas.openxmlformats.org/officeDocument/2006/relationships/chart" Target="../charts/chart64.xml"/><Relationship Id="rId63" Type="http://schemas.openxmlformats.org/officeDocument/2006/relationships/chart" Target="../charts/chart63.xml"/><Relationship Id="rId66" Type="http://schemas.openxmlformats.org/officeDocument/2006/relationships/chart" Target="../charts/chart66.xml"/><Relationship Id="rId65" Type="http://schemas.openxmlformats.org/officeDocument/2006/relationships/chart" Target="../charts/chart65.xml"/><Relationship Id="rId68" Type="http://schemas.openxmlformats.org/officeDocument/2006/relationships/chart" Target="../charts/chart68.xml"/><Relationship Id="rId67" Type="http://schemas.openxmlformats.org/officeDocument/2006/relationships/chart" Target="../charts/chart67.xml"/><Relationship Id="rId60" Type="http://schemas.openxmlformats.org/officeDocument/2006/relationships/chart" Target="../charts/chart60.xml"/><Relationship Id="rId69" Type="http://schemas.openxmlformats.org/officeDocument/2006/relationships/chart" Target="../charts/chart69.xml"/><Relationship Id="rId51" Type="http://schemas.openxmlformats.org/officeDocument/2006/relationships/chart" Target="../charts/chart51.xml"/><Relationship Id="rId50" Type="http://schemas.openxmlformats.org/officeDocument/2006/relationships/chart" Target="../charts/chart50.xml"/><Relationship Id="rId53" Type="http://schemas.openxmlformats.org/officeDocument/2006/relationships/chart" Target="../charts/chart53.xml"/><Relationship Id="rId52" Type="http://schemas.openxmlformats.org/officeDocument/2006/relationships/chart" Target="../charts/chart52.xml"/><Relationship Id="rId55" Type="http://schemas.openxmlformats.org/officeDocument/2006/relationships/chart" Target="../charts/chart55.xml"/><Relationship Id="rId54" Type="http://schemas.openxmlformats.org/officeDocument/2006/relationships/chart" Target="../charts/chart54.xml"/><Relationship Id="rId57" Type="http://schemas.openxmlformats.org/officeDocument/2006/relationships/chart" Target="../charts/chart57.xml"/><Relationship Id="rId56" Type="http://schemas.openxmlformats.org/officeDocument/2006/relationships/chart" Target="../charts/chart56.xml"/><Relationship Id="rId59" Type="http://schemas.openxmlformats.org/officeDocument/2006/relationships/chart" Target="../charts/chart59.xml"/><Relationship Id="rId58" Type="http://schemas.openxmlformats.org/officeDocument/2006/relationships/chart" Target="../charts/chart58.xml"/></Relationships>
</file>

<file path=xl/drawings/_rels/drawing4.xml.rels><?xml version="1.0" encoding="UTF-8" standalone="yes"?><Relationships xmlns="http://schemas.openxmlformats.org/package/2006/relationships"><Relationship Id="rId40" Type="http://schemas.openxmlformats.org/officeDocument/2006/relationships/chart" Target="../charts/chart138.xml"/><Relationship Id="rId42" Type="http://schemas.openxmlformats.org/officeDocument/2006/relationships/chart" Target="../charts/chart140.xml"/><Relationship Id="rId41" Type="http://schemas.openxmlformats.org/officeDocument/2006/relationships/chart" Target="../charts/chart139.xml"/><Relationship Id="rId44" Type="http://schemas.openxmlformats.org/officeDocument/2006/relationships/chart" Target="../charts/chart142.xml"/><Relationship Id="rId43" Type="http://schemas.openxmlformats.org/officeDocument/2006/relationships/chart" Target="../charts/chart141.xml"/><Relationship Id="rId46" Type="http://schemas.openxmlformats.org/officeDocument/2006/relationships/chart" Target="../charts/chart144.xml"/><Relationship Id="rId45" Type="http://schemas.openxmlformats.org/officeDocument/2006/relationships/chart" Target="../charts/chart143.xml"/><Relationship Id="rId107" Type="http://schemas.openxmlformats.org/officeDocument/2006/relationships/chart" Target="../charts/chart205.xml"/><Relationship Id="rId106" Type="http://schemas.openxmlformats.org/officeDocument/2006/relationships/chart" Target="../charts/chart204.xml"/><Relationship Id="rId105" Type="http://schemas.openxmlformats.org/officeDocument/2006/relationships/chart" Target="../charts/chart203.xml"/><Relationship Id="rId104" Type="http://schemas.openxmlformats.org/officeDocument/2006/relationships/chart" Target="../charts/chart202.xml"/><Relationship Id="rId109" Type="http://schemas.openxmlformats.org/officeDocument/2006/relationships/chart" Target="../charts/chart207.xml"/><Relationship Id="rId108" Type="http://schemas.openxmlformats.org/officeDocument/2006/relationships/chart" Target="../charts/chart206.xml"/><Relationship Id="rId48" Type="http://schemas.openxmlformats.org/officeDocument/2006/relationships/chart" Target="../charts/chart146.xml"/><Relationship Id="rId47" Type="http://schemas.openxmlformats.org/officeDocument/2006/relationships/chart" Target="../charts/chart145.xml"/><Relationship Id="rId49" Type="http://schemas.openxmlformats.org/officeDocument/2006/relationships/chart" Target="../charts/chart147.xml"/><Relationship Id="rId103" Type="http://schemas.openxmlformats.org/officeDocument/2006/relationships/chart" Target="../charts/chart201.xml"/><Relationship Id="rId102" Type="http://schemas.openxmlformats.org/officeDocument/2006/relationships/chart" Target="../charts/chart200.xml"/><Relationship Id="rId101" Type="http://schemas.openxmlformats.org/officeDocument/2006/relationships/chart" Target="../charts/chart199.xml"/><Relationship Id="rId100" Type="http://schemas.openxmlformats.org/officeDocument/2006/relationships/chart" Target="../charts/chart198.xml"/><Relationship Id="rId31" Type="http://schemas.openxmlformats.org/officeDocument/2006/relationships/chart" Target="../charts/chart129.xml"/><Relationship Id="rId30" Type="http://schemas.openxmlformats.org/officeDocument/2006/relationships/chart" Target="../charts/chart128.xml"/><Relationship Id="rId33" Type="http://schemas.openxmlformats.org/officeDocument/2006/relationships/chart" Target="../charts/chart131.xml"/><Relationship Id="rId32" Type="http://schemas.openxmlformats.org/officeDocument/2006/relationships/chart" Target="../charts/chart130.xml"/><Relationship Id="rId35" Type="http://schemas.openxmlformats.org/officeDocument/2006/relationships/chart" Target="../charts/chart133.xml"/><Relationship Id="rId34" Type="http://schemas.openxmlformats.org/officeDocument/2006/relationships/chart" Target="../charts/chart132.xml"/><Relationship Id="rId37" Type="http://schemas.openxmlformats.org/officeDocument/2006/relationships/chart" Target="../charts/chart135.xml"/><Relationship Id="rId36" Type="http://schemas.openxmlformats.org/officeDocument/2006/relationships/chart" Target="../charts/chart134.xml"/><Relationship Id="rId39" Type="http://schemas.openxmlformats.org/officeDocument/2006/relationships/chart" Target="../charts/chart137.xml"/><Relationship Id="rId38" Type="http://schemas.openxmlformats.org/officeDocument/2006/relationships/chart" Target="../charts/chart136.xml"/><Relationship Id="rId20" Type="http://schemas.openxmlformats.org/officeDocument/2006/relationships/chart" Target="../charts/chart118.xml"/><Relationship Id="rId22" Type="http://schemas.openxmlformats.org/officeDocument/2006/relationships/chart" Target="../charts/chart120.xml"/><Relationship Id="rId21" Type="http://schemas.openxmlformats.org/officeDocument/2006/relationships/chart" Target="../charts/chart119.xml"/><Relationship Id="rId24" Type="http://schemas.openxmlformats.org/officeDocument/2006/relationships/chart" Target="../charts/chart122.xml"/><Relationship Id="rId23" Type="http://schemas.openxmlformats.org/officeDocument/2006/relationships/chart" Target="../charts/chart121.xml"/><Relationship Id="rId26" Type="http://schemas.openxmlformats.org/officeDocument/2006/relationships/chart" Target="../charts/chart124.xml"/><Relationship Id="rId25" Type="http://schemas.openxmlformats.org/officeDocument/2006/relationships/chart" Target="../charts/chart123.xml"/><Relationship Id="rId28" Type="http://schemas.openxmlformats.org/officeDocument/2006/relationships/chart" Target="../charts/chart126.xml"/><Relationship Id="rId27" Type="http://schemas.openxmlformats.org/officeDocument/2006/relationships/chart" Target="../charts/chart125.xml"/><Relationship Id="rId29" Type="http://schemas.openxmlformats.org/officeDocument/2006/relationships/chart" Target="../charts/chart127.xml"/><Relationship Id="rId95" Type="http://schemas.openxmlformats.org/officeDocument/2006/relationships/chart" Target="../charts/chart193.xml"/><Relationship Id="rId94" Type="http://schemas.openxmlformats.org/officeDocument/2006/relationships/chart" Target="../charts/chart192.xml"/><Relationship Id="rId97" Type="http://schemas.openxmlformats.org/officeDocument/2006/relationships/chart" Target="../charts/chart195.xml"/><Relationship Id="rId96" Type="http://schemas.openxmlformats.org/officeDocument/2006/relationships/chart" Target="../charts/chart194.xml"/><Relationship Id="rId11" Type="http://schemas.openxmlformats.org/officeDocument/2006/relationships/chart" Target="../charts/chart109.xml"/><Relationship Id="rId99" Type="http://schemas.openxmlformats.org/officeDocument/2006/relationships/chart" Target="../charts/chart197.xml"/><Relationship Id="rId10" Type="http://schemas.openxmlformats.org/officeDocument/2006/relationships/chart" Target="../charts/chart108.xml"/><Relationship Id="rId98" Type="http://schemas.openxmlformats.org/officeDocument/2006/relationships/chart" Target="../charts/chart196.xml"/><Relationship Id="rId13" Type="http://schemas.openxmlformats.org/officeDocument/2006/relationships/chart" Target="../charts/chart111.xml"/><Relationship Id="rId12" Type="http://schemas.openxmlformats.org/officeDocument/2006/relationships/chart" Target="../charts/chart110.xml"/><Relationship Id="rId91" Type="http://schemas.openxmlformats.org/officeDocument/2006/relationships/chart" Target="../charts/chart189.xml"/><Relationship Id="rId90" Type="http://schemas.openxmlformats.org/officeDocument/2006/relationships/chart" Target="../charts/chart188.xml"/><Relationship Id="rId93" Type="http://schemas.openxmlformats.org/officeDocument/2006/relationships/chart" Target="../charts/chart191.xml"/><Relationship Id="rId92" Type="http://schemas.openxmlformats.org/officeDocument/2006/relationships/chart" Target="../charts/chart190.xml"/><Relationship Id="rId15" Type="http://schemas.openxmlformats.org/officeDocument/2006/relationships/chart" Target="../charts/chart113.xml"/><Relationship Id="rId14" Type="http://schemas.openxmlformats.org/officeDocument/2006/relationships/chart" Target="../charts/chart112.xml"/><Relationship Id="rId17" Type="http://schemas.openxmlformats.org/officeDocument/2006/relationships/chart" Target="../charts/chart115.xml"/><Relationship Id="rId16" Type="http://schemas.openxmlformats.org/officeDocument/2006/relationships/chart" Target="../charts/chart114.xml"/><Relationship Id="rId19" Type="http://schemas.openxmlformats.org/officeDocument/2006/relationships/chart" Target="../charts/chart117.xml"/><Relationship Id="rId18" Type="http://schemas.openxmlformats.org/officeDocument/2006/relationships/chart" Target="../charts/chart116.xml"/><Relationship Id="rId84" Type="http://schemas.openxmlformats.org/officeDocument/2006/relationships/chart" Target="../charts/chart182.xml"/><Relationship Id="rId83" Type="http://schemas.openxmlformats.org/officeDocument/2006/relationships/chart" Target="../charts/chart181.xml"/><Relationship Id="rId86" Type="http://schemas.openxmlformats.org/officeDocument/2006/relationships/chart" Target="../charts/chart184.xml"/><Relationship Id="rId85" Type="http://schemas.openxmlformats.org/officeDocument/2006/relationships/chart" Target="../charts/chart183.xml"/><Relationship Id="rId88" Type="http://schemas.openxmlformats.org/officeDocument/2006/relationships/chart" Target="../charts/chart186.xml"/><Relationship Id="rId87" Type="http://schemas.openxmlformats.org/officeDocument/2006/relationships/chart" Target="../charts/chart185.xml"/><Relationship Id="rId89" Type="http://schemas.openxmlformats.org/officeDocument/2006/relationships/chart" Target="../charts/chart187.xml"/><Relationship Id="rId80" Type="http://schemas.openxmlformats.org/officeDocument/2006/relationships/chart" Target="../charts/chart178.xml"/><Relationship Id="rId82" Type="http://schemas.openxmlformats.org/officeDocument/2006/relationships/chart" Target="../charts/chart180.xml"/><Relationship Id="rId81" Type="http://schemas.openxmlformats.org/officeDocument/2006/relationships/chart" Target="../charts/chart179.xml"/><Relationship Id="rId1" Type="http://schemas.openxmlformats.org/officeDocument/2006/relationships/chart" Target="../charts/chart99.xml"/><Relationship Id="rId2" Type="http://schemas.openxmlformats.org/officeDocument/2006/relationships/chart" Target="../charts/chart100.xml"/><Relationship Id="rId3" Type="http://schemas.openxmlformats.org/officeDocument/2006/relationships/chart" Target="../charts/chart101.xml"/><Relationship Id="rId4" Type="http://schemas.openxmlformats.org/officeDocument/2006/relationships/chart" Target="../charts/chart102.xml"/><Relationship Id="rId9" Type="http://schemas.openxmlformats.org/officeDocument/2006/relationships/chart" Target="../charts/chart107.xml"/><Relationship Id="rId5" Type="http://schemas.openxmlformats.org/officeDocument/2006/relationships/chart" Target="../charts/chart103.xml"/><Relationship Id="rId6" Type="http://schemas.openxmlformats.org/officeDocument/2006/relationships/chart" Target="../charts/chart104.xml"/><Relationship Id="rId7" Type="http://schemas.openxmlformats.org/officeDocument/2006/relationships/chart" Target="../charts/chart105.xml"/><Relationship Id="rId8" Type="http://schemas.openxmlformats.org/officeDocument/2006/relationships/chart" Target="../charts/chart106.xml"/><Relationship Id="rId73" Type="http://schemas.openxmlformats.org/officeDocument/2006/relationships/chart" Target="../charts/chart171.xml"/><Relationship Id="rId72" Type="http://schemas.openxmlformats.org/officeDocument/2006/relationships/chart" Target="../charts/chart170.xml"/><Relationship Id="rId75" Type="http://schemas.openxmlformats.org/officeDocument/2006/relationships/chart" Target="../charts/chart173.xml"/><Relationship Id="rId74" Type="http://schemas.openxmlformats.org/officeDocument/2006/relationships/chart" Target="../charts/chart172.xml"/><Relationship Id="rId77" Type="http://schemas.openxmlformats.org/officeDocument/2006/relationships/chart" Target="../charts/chart175.xml"/><Relationship Id="rId76" Type="http://schemas.openxmlformats.org/officeDocument/2006/relationships/chart" Target="../charts/chart174.xml"/><Relationship Id="rId79" Type="http://schemas.openxmlformats.org/officeDocument/2006/relationships/chart" Target="../charts/chart177.xml"/><Relationship Id="rId78" Type="http://schemas.openxmlformats.org/officeDocument/2006/relationships/chart" Target="../charts/chart176.xml"/><Relationship Id="rId71" Type="http://schemas.openxmlformats.org/officeDocument/2006/relationships/chart" Target="../charts/chart169.xml"/><Relationship Id="rId70" Type="http://schemas.openxmlformats.org/officeDocument/2006/relationships/chart" Target="../charts/chart168.xml"/><Relationship Id="rId62" Type="http://schemas.openxmlformats.org/officeDocument/2006/relationships/chart" Target="../charts/chart160.xml"/><Relationship Id="rId61" Type="http://schemas.openxmlformats.org/officeDocument/2006/relationships/chart" Target="../charts/chart159.xml"/><Relationship Id="rId64" Type="http://schemas.openxmlformats.org/officeDocument/2006/relationships/chart" Target="../charts/chart162.xml"/><Relationship Id="rId63" Type="http://schemas.openxmlformats.org/officeDocument/2006/relationships/chart" Target="../charts/chart161.xml"/><Relationship Id="rId66" Type="http://schemas.openxmlformats.org/officeDocument/2006/relationships/chart" Target="../charts/chart164.xml"/><Relationship Id="rId65" Type="http://schemas.openxmlformats.org/officeDocument/2006/relationships/chart" Target="../charts/chart163.xml"/><Relationship Id="rId68" Type="http://schemas.openxmlformats.org/officeDocument/2006/relationships/chart" Target="../charts/chart166.xml"/><Relationship Id="rId67" Type="http://schemas.openxmlformats.org/officeDocument/2006/relationships/chart" Target="../charts/chart165.xml"/><Relationship Id="rId60" Type="http://schemas.openxmlformats.org/officeDocument/2006/relationships/chart" Target="../charts/chart158.xml"/><Relationship Id="rId69" Type="http://schemas.openxmlformats.org/officeDocument/2006/relationships/chart" Target="../charts/chart167.xml"/><Relationship Id="rId51" Type="http://schemas.openxmlformats.org/officeDocument/2006/relationships/chart" Target="../charts/chart149.xml"/><Relationship Id="rId50" Type="http://schemas.openxmlformats.org/officeDocument/2006/relationships/chart" Target="../charts/chart148.xml"/><Relationship Id="rId53" Type="http://schemas.openxmlformats.org/officeDocument/2006/relationships/chart" Target="../charts/chart151.xml"/><Relationship Id="rId52" Type="http://schemas.openxmlformats.org/officeDocument/2006/relationships/chart" Target="../charts/chart150.xml"/><Relationship Id="rId55" Type="http://schemas.openxmlformats.org/officeDocument/2006/relationships/chart" Target="../charts/chart153.xml"/><Relationship Id="rId54" Type="http://schemas.openxmlformats.org/officeDocument/2006/relationships/chart" Target="../charts/chart152.xml"/><Relationship Id="rId57" Type="http://schemas.openxmlformats.org/officeDocument/2006/relationships/chart" Target="../charts/chart155.xml"/><Relationship Id="rId56" Type="http://schemas.openxmlformats.org/officeDocument/2006/relationships/chart" Target="../charts/chart154.xml"/><Relationship Id="rId59" Type="http://schemas.openxmlformats.org/officeDocument/2006/relationships/chart" Target="../charts/chart157.xml"/><Relationship Id="rId58" Type="http://schemas.openxmlformats.org/officeDocument/2006/relationships/chart" Target="../charts/chart15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9525</xdr:rowOff>
    </xdr:from>
    <xdr:ext cx="6572250" cy="45243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647700</xdr:colOff>
      <xdr:row>33</xdr:row>
      <xdr:rowOff>9525</xdr:rowOff>
    </xdr:from>
    <xdr:ext cx="5848350" cy="45243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55</xdr:row>
      <xdr:rowOff>142875</xdr:rowOff>
    </xdr:from>
    <xdr:ext cx="6572250" cy="41243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647700</xdr:colOff>
      <xdr:row>55</xdr:row>
      <xdr:rowOff>142875</xdr:rowOff>
    </xdr:from>
    <xdr:ext cx="5848350" cy="41243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76</xdr:row>
      <xdr:rowOff>76200</xdr:rowOff>
    </xdr:from>
    <xdr:ext cx="6572250" cy="439102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647700</xdr:colOff>
      <xdr:row>76</xdr:row>
      <xdr:rowOff>76200</xdr:rowOff>
    </xdr:from>
    <xdr:ext cx="5848350" cy="439102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98</xdr:row>
      <xdr:rowOff>28575</xdr:rowOff>
    </xdr:from>
    <xdr:ext cx="6572250" cy="4295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647700</xdr:colOff>
      <xdr:row>98</xdr:row>
      <xdr:rowOff>28575</xdr:rowOff>
    </xdr:from>
    <xdr:ext cx="5848350" cy="4295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119</xdr:row>
      <xdr:rowOff>123825</xdr:rowOff>
    </xdr:from>
    <xdr:ext cx="6572250" cy="412432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5</xdr:col>
      <xdr:colOff>647700</xdr:colOff>
      <xdr:row>119</xdr:row>
      <xdr:rowOff>123825</xdr:rowOff>
    </xdr:from>
    <xdr:ext cx="5848350" cy="412432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140</xdr:row>
      <xdr:rowOff>57150</xdr:rowOff>
    </xdr:from>
    <xdr:ext cx="6572250" cy="4295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</xdr:col>
      <xdr:colOff>647700</xdr:colOff>
      <xdr:row>140</xdr:row>
      <xdr:rowOff>57150</xdr:rowOff>
    </xdr:from>
    <xdr:ext cx="5848350" cy="42957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161</xdr:row>
      <xdr:rowOff>161925</xdr:rowOff>
    </xdr:from>
    <xdr:ext cx="6572250" cy="47910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0</xdr:col>
      <xdr:colOff>0</xdr:colOff>
      <xdr:row>186</xdr:row>
      <xdr:rowOff>180975</xdr:rowOff>
    </xdr:from>
    <xdr:ext cx="6572250" cy="5124450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5</xdr:col>
      <xdr:colOff>647700</xdr:colOff>
      <xdr:row>186</xdr:row>
      <xdr:rowOff>180975</xdr:rowOff>
    </xdr:from>
    <xdr:ext cx="5848350" cy="5086350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0</xdr:col>
      <xdr:colOff>0</xdr:colOff>
      <xdr:row>212</xdr:row>
      <xdr:rowOff>47625</xdr:rowOff>
    </xdr:from>
    <xdr:ext cx="6572250" cy="5124450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5</xdr:col>
      <xdr:colOff>647700</xdr:colOff>
      <xdr:row>212</xdr:row>
      <xdr:rowOff>57150</xdr:rowOff>
    </xdr:from>
    <xdr:ext cx="5857875" cy="5124450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0</xdr:col>
      <xdr:colOff>0</xdr:colOff>
      <xdr:row>237</xdr:row>
      <xdr:rowOff>180975</xdr:rowOff>
    </xdr:from>
    <xdr:ext cx="6572250" cy="5124450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5</xdr:col>
      <xdr:colOff>647700</xdr:colOff>
      <xdr:row>237</xdr:row>
      <xdr:rowOff>190500</xdr:rowOff>
    </xdr:from>
    <xdr:ext cx="5857875" cy="5124450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0</xdr:col>
      <xdr:colOff>0</xdr:colOff>
      <xdr:row>263</xdr:row>
      <xdr:rowOff>123825</xdr:rowOff>
    </xdr:from>
    <xdr:ext cx="6572250" cy="5124450"/>
    <xdr:graphicFrame>
      <xdr:nvGraphicFramePr>
        <xdr:cNvPr id="20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5</xdr:col>
      <xdr:colOff>647700</xdr:colOff>
      <xdr:row>263</xdr:row>
      <xdr:rowOff>114300</xdr:rowOff>
    </xdr:from>
    <xdr:ext cx="5857875" cy="5124450"/>
    <xdr:graphicFrame>
      <xdr:nvGraphicFramePr>
        <xdr:cNvPr id="21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0</xdr:col>
      <xdr:colOff>0</xdr:colOff>
      <xdr:row>289</xdr:row>
      <xdr:rowOff>47625</xdr:rowOff>
    </xdr:from>
    <xdr:ext cx="6572250" cy="5124450"/>
    <xdr:graphicFrame>
      <xdr:nvGraphicFramePr>
        <xdr:cNvPr id="22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5</xdr:col>
      <xdr:colOff>647700</xdr:colOff>
      <xdr:row>289</xdr:row>
      <xdr:rowOff>57150</xdr:rowOff>
    </xdr:from>
    <xdr:ext cx="5857875" cy="5124450"/>
    <xdr:graphicFrame>
      <xdr:nvGraphicFramePr>
        <xdr:cNvPr id="23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0</xdr:col>
      <xdr:colOff>0</xdr:colOff>
      <xdr:row>314</xdr:row>
      <xdr:rowOff>180975</xdr:rowOff>
    </xdr:from>
    <xdr:ext cx="6572250" cy="5124450"/>
    <xdr:graphicFrame>
      <xdr:nvGraphicFramePr>
        <xdr:cNvPr id="24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5</xdr:col>
      <xdr:colOff>657225</xdr:colOff>
      <xdr:row>314</xdr:row>
      <xdr:rowOff>190500</xdr:rowOff>
    </xdr:from>
    <xdr:ext cx="5848350" cy="5124450"/>
    <xdr:graphicFrame>
      <xdr:nvGraphicFramePr>
        <xdr:cNvPr id="25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0</xdr:col>
      <xdr:colOff>0</xdr:colOff>
      <xdr:row>340</xdr:row>
      <xdr:rowOff>114300</xdr:rowOff>
    </xdr:from>
    <xdr:ext cx="6572250" cy="5124450"/>
    <xdr:graphicFrame>
      <xdr:nvGraphicFramePr>
        <xdr:cNvPr id="26" name="Chart 2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5</xdr:col>
      <xdr:colOff>657225</xdr:colOff>
      <xdr:row>368</xdr:row>
      <xdr:rowOff>0</xdr:rowOff>
    </xdr:from>
    <xdr:ext cx="5848350" cy="3771900"/>
    <xdr:graphicFrame>
      <xdr:nvGraphicFramePr>
        <xdr:cNvPr id="27" name="Chart 2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0</xdr:col>
      <xdr:colOff>0</xdr:colOff>
      <xdr:row>368</xdr:row>
      <xdr:rowOff>0</xdr:rowOff>
    </xdr:from>
    <xdr:ext cx="6572250" cy="3771900"/>
    <xdr:graphicFrame>
      <xdr:nvGraphicFramePr>
        <xdr:cNvPr id="28" name="Chart 2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  <xdr:oneCellAnchor>
    <xdr:from>
      <xdr:col>0</xdr:col>
      <xdr:colOff>0</xdr:colOff>
      <xdr:row>386</xdr:row>
      <xdr:rowOff>171450</xdr:rowOff>
    </xdr:from>
    <xdr:ext cx="6581775" cy="4591050"/>
    <xdr:graphicFrame>
      <xdr:nvGraphicFramePr>
        <xdr:cNvPr id="29" name="Chart 2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 fLocksWithSheet="0"/>
  </xdr:oneCellAnchor>
  <xdr:oneCellAnchor>
    <xdr:from>
      <xdr:col>5</xdr:col>
      <xdr:colOff>647700</xdr:colOff>
      <xdr:row>386</xdr:row>
      <xdr:rowOff>171450</xdr:rowOff>
    </xdr:from>
    <xdr:ext cx="5857875" cy="4591050"/>
    <xdr:graphicFrame>
      <xdr:nvGraphicFramePr>
        <xdr:cNvPr id="30" name="Chart 3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0"/>
        </a:graphicData>
      </a:graphic>
    </xdr:graphicFrame>
    <xdr:clientData fLocksWithSheet="0"/>
  </xdr:oneCellAnchor>
  <xdr:oneCellAnchor>
    <xdr:from>
      <xdr:col>0</xdr:col>
      <xdr:colOff>0</xdr:colOff>
      <xdr:row>409</xdr:row>
      <xdr:rowOff>161925</xdr:rowOff>
    </xdr:from>
    <xdr:ext cx="6572250" cy="5124450"/>
    <xdr:graphicFrame>
      <xdr:nvGraphicFramePr>
        <xdr:cNvPr id="31" name="Chart 3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1"/>
        </a:graphicData>
      </a:graphic>
    </xdr:graphicFrame>
    <xdr:clientData fLocksWithSheet="0"/>
  </xdr:oneCellAnchor>
  <xdr:oneCellAnchor>
    <xdr:from>
      <xdr:col>5</xdr:col>
      <xdr:colOff>647700</xdr:colOff>
      <xdr:row>409</xdr:row>
      <xdr:rowOff>161925</xdr:rowOff>
    </xdr:from>
    <xdr:ext cx="5848350" cy="5124450"/>
    <xdr:graphicFrame>
      <xdr:nvGraphicFramePr>
        <xdr:cNvPr id="32" name="Chart 3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2"/>
        </a:graphicData>
      </a:graphic>
    </xdr:graphicFrame>
    <xdr:clientData fLocksWithSheet="0"/>
  </xdr:oneCellAnchor>
  <xdr:oneCellAnchor>
    <xdr:from>
      <xdr:col>0</xdr:col>
      <xdr:colOff>0</xdr:colOff>
      <xdr:row>438</xdr:row>
      <xdr:rowOff>200025</xdr:rowOff>
    </xdr:from>
    <xdr:ext cx="6572250" cy="4591050"/>
    <xdr:graphicFrame>
      <xdr:nvGraphicFramePr>
        <xdr:cNvPr id="33" name="Chart 3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3"/>
        </a:graphicData>
      </a:graphic>
    </xdr:graphicFrame>
    <xdr:clientData fLocksWithSheet="0"/>
  </xdr:oneCellAnchor>
  <xdr:oneCellAnchor>
    <xdr:from>
      <xdr:col>5</xdr:col>
      <xdr:colOff>647700</xdr:colOff>
      <xdr:row>438</xdr:row>
      <xdr:rowOff>200025</xdr:rowOff>
    </xdr:from>
    <xdr:ext cx="5857875" cy="4600575"/>
    <xdr:graphicFrame>
      <xdr:nvGraphicFramePr>
        <xdr:cNvPr id="34" name="Chart 3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4"/>
        </a:graphicData>
      </a:graphic>
    </xdr:graphicFrame>
    <xdr:clientData fLocksWithSheet="0"/>
  </xdr:oneCellAnchor>
  <xdr:oneCellAnchor>
    <xdr:from>
      <xdr:col>0</xdr:col>
      <xdr:colOff>0</xdr:colOff>
      <xdr:row>461</xdr:row>
      <xdr:rowOff>171450</xdr:rowOff>
    </xdr:from>
    <xdr:ext cx="6572250" cy="4524375"/>
    <xdr:graphicFrame>
      <xdr:nvGraphicFramePr>
        <xdr:cNvPr id="35" name="Chart 3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5"/>
        </a:graphicData>
      </a:graphic>
    </xdr:graphicFrame>
    <xdr:clientData fLocksWithSheet="0"/>
  </xdr:oneCellAnchor>
  <xdr:oneCellAnchor>
    <xdr:from>
      <xdr:col>5</xdr:col>
      <xdr:colOff>647700</xdr:colOff>
      <xdr:row>461</xdr:row>
      <xdr:rowOff>171450</xdr:rowOff>
    </xdr:from>
    <xdr:ext cx="5857875" cy="4524375"/>
    <xdr:graphicFrame>
      <xdr:nvGraphicFramePr>
        <xdr:cNvPr id="36" name="Chart 3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6"/>
        </a:graphicData>
      </a:graphic>
    </xdr:graphicFrame>
    <xdr:clientData fLocksWithSheet="0"/>
  </xdr:oneCellAnchor>
  <xdr:oneCellAnchor>
    <xdr:from>
      <xdr:col>0</xdr:col>
      <xdr:colOff>0</xdr:colOff>
      <xdr:row>484</xdr:row>
      <xdr:rowOff>114300</xdr:rowOff>
    </xdr:from>
    <xdr:ext cx="6572250" cy="4676775"/>
    <xdr:graphicFrame>
      <xdr:nvGraphicFramePr>
        <xdr:cNvPr id="37" name="Chart 3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7"/>
        </a:graphicData>
      </a:graphic>
    </xdr:graphicFrame>
    <xdr:clientData fLocksWithSheet="0"/>
  </xdr:oneCellAnchor>
  <xdr:oneCellAnchor>
    <xdr:from>
      <xdr:col>5</xdr:col>
      <xdr:colOff>647700</xdr:colOff>
      <xdr:row>484</xdr:row>
      <xdr:rowOff>114300</xdr:rowOff>
    </xdr:from>
    <xdr:ext cx="5857875" cy="4676775"/>
    <xdr:graphicFrame>
      <xdr:nvGraphicFramePr>
        <xdr:cNvPr id="38" name="Chart 3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8"/>
        </a:graphicData>
      </a:graphic>
    </xdr:graphicFrame>
    <xdr:clientData fLocksWithSheet="0"/>
  </xdr:oneCellAnchor>
  <xdr:oneCellAnchor>
    <xdr:from>
      <xdr:col>5</xdr:col>
      <xdr:colOff>647700</xdr:colOff>
      <xdr:row>508</xdr:row>
      <xdr:rowOff>0</xdr:rowOff>
    </xdr:from>
    <xdr:ext cx="5857875" cy="4676775"/>
    <xdr:graphicFrame>
      <xdr:nvGraphicFramePr>
        <xdr:cNvPr id="39" name="Chart 3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9"/>
        </a:graphicData>
      </a:graphic>
    </xdr:graphicFrame>
    <xdr:clientData fLocksWithSheet="0"/>
  </xdr:oneCellAnchor>
  <xdr:oneCellAnchor>
    <xdr:from>
      <xdr:col>0</xdr:col>
      <xdr:colOff>0</xdr:colOff>
      <xdr:row>531</xdr:row>
      <xdr:rowOff>85725</xdr:rowOff>
    </xdr:from>
    <xdr:ext cx="6581775" cy="4676775"/>
    <xdr:graphicFrame>
      <xdr:nvGraphicFramePr>
        <xdr:cNvPr id="40" name="Chart 4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0"/>
        </a:graphicData>
      </a:graphic>
    </xdr:graphicFrame>
    <xdr:clientData fLocksWithSheet="0"/>
  </xdr:oneCellAnchor>
  <xdr:oneCellAnchor>
    <xdr:from>
      <xdr:col>5</xdr:col>
      <xdr:colOff>647700</xdr:colOff>
      <xdr:row>531</xdr:row>
      <xdr:rowOff>85725</xdr:rowOff>
    </xdr:from>
    <xdr:ext cx="5857875" cy="4676775"/>
    <xdr:graphicFrame>
      <xdr:nvGraphicFramePr>
        <xdr:cNvPr id="41" name="Chart 4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1"/>
        </a:graphicData>
      </a:graphic>
    </xdr:graphicFrame>
    <xdr:clientData fLocksWithSheet="0"/>
  </xdr:oneCellAnchor>
  <xdr:oneCellAnchor>
    <xdr:from>
      <xdr:col>0</xdr:col>
      <xdr:colOff>0</xdr:colOff>
      <xdr:row>554</xdr:row>
      <xdr:rowOff>171450</xdr:rowOff>
    </xdr:from>
    <xdr:ext cx="6581775" cy="4676775"/>
    <xdr:graphicFrame>
      <xdr:nvGraphicFramePr>
        <xdr:cNvPr id="42" name="Chart 4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2"/>
        </a:graphicData>
      </a:graphic>
    </xdr:graphicFrame>
    <xdr:clientData fLocksWithSheet="0"/>
  </xdr:oneCellAnchor>
  <xdr:oneCellAnchor>
    <xdr:from>
      <xdr:col>5</xdr:col>
      <xdr:colOff>647700</xdr:colOff>
      <xdr:row>554</xdr:row>
      <xdr:rowOff>171450</xdr:rowOff>
    </xdr:from>
    <xdr:ext cx="5857875" cy="4676775"/>
    <xdr:graphicFrame>
      <xdr:nvGraphicFramePr>
        <xdr:cNvPr id="43" name="Chart 4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3"/>
        </a:graphicData>
      </a:graphic>
    </xdr:graphicFrame>
    <xdr:clientData fLocksWithSheet="0"/>
  </xdr:oneCellAnchor>
  <xdr:oneCellAnchor>
    <xdr:from>
      <xdr:col>5</xdr:col>
      <xdr:colOff>657225</xdr:colOff>
      <xdr:row>161</xdr:row>
      <xdr:rowOff>161925</xdr:rowOff>
    </xdr:from>
    <xdr:ext cx="5848350" cy="4791075"/>
    <xdr:graphicFrame>
      <xdr:nvGraphicFramePr>
        <xdr:cNvPr id="44" name="Chart 4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4"/>
        </a:graphicData>
      </a:graphic>
    </xdr:graphicFrame>
    <xdr:clientData fLocksWithSheet="0"/>
  </xdr:oneCellAnchor>
  <xdr:oneCellAnchor>
    <xdr:from>
      <xdr:col>0</xdr:col>
      <xdr:colOff>0</xdr:colOff>
      <xdr:row>578</xdr:row>
      <xdr:rowOff>228600</xdr:rowOff>
    </xdr:from>
    <xdr:ext cx="6581775" cy="3657600"/>
    <xdr:graphicFrame>
      <xdr:nvGraphicFramePr>
        <xdr:cNvPr id="45" name="Chart 4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5"/>
        </a:graphicData>
      </a:graphic>
    </xdr:graphicFrame>
    <xdr:clientData fLocksWithSheet="0"/>
  </xdr:oneCellAnchor>
  <xdr:oneCellAnchor>
    <xdr:from>
      <xdr:col>5</xdr:col>
      <xdr:colOff>647700</xdr:colOff>
      <xdr:row>578</xdr:row>
      <xdr:rowOff>228600</xdr:rowOff>
    </xdr:from>
    <xdr:ext cx="5857875" cy="3657600"/>
    <xdr:graphicFrame>
      <xdr:nvGraphicFramePr>
        <xdr:cNvPr id="46" name="Chart 4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6"/>
        </a:graphicData>
      </a:graphic>
    </xdr:graphicFrame>
    <xdr:clientData fLocksWithSheet="0"/>
  </xdr:oneCellAnchor>
  <xdr:oneCellAnchor>
    <xdr:from>
      <xdr:col>5</xdr:col>
      <xdr:colOff>647700</xdr:colOff>
      <xdr:row>597</xdr:row>
      <xdr:rowOff>47625</xdr:rowOff>
    </xdr:from>
    <xdr:ext cx="5857875" cy="4352925"/>
    <xdr:graphicFrame>
      <xdr:nvGraphicFramePr>
        <xdr:cNvPr id="47" name="Chart 4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7"/>
        </a:graphicData>
      </a:graphic>
    </xdr:graphicFrame>
    <xdr:clientData fLocksWithSheet="0"/>
  </xdr:oneCellAnchor>
  <xdr:oneCellAnchor>
    <xdr:from>
      <xdr:col>0</xdr:col>
      <xdr:colOff>9525</xdr:colOff>
      <xdr:row>597</xdr:row>
      <xdr:rowOff>47625</xdr:rowOff>
    </xdr:from>
    <xdr:ext cx="6572250" cy="4352925"/>
    <xdr:graphicFrame>
      <xdr:nvGraphicFramePr>
        <xdr:cNvPr id="48" name="Chart 4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8"/>
        </a:graphicData>
      </a:graphic>
    </xdr:graphicFrame>
    <xdr:clientData fLocksWithSheet="0"/>
  </xdr:oneCellAnchor>
  <xdr:oneCellAnchor>
    <xdr:from>
      <xdr:col>0</xdr:col>
      <xdr:colOff>0</xdr:colOff>
      <xdr:row>619</xdr:row>
      <xdr:rowOff>9525</xdr:rowOff>
    </xdr:from>
    <xdr:ext cx="6572250" cy="4352925"/>
    <xdr:graphicFrame>
      <xdr:nvGraphicFramePr>
        <xdr:cNvPr id="49" name="Chart 4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9"/>
        </a:graphicData>
      </a:graphic>
    </xdr:graphicFrame>
    <xdr:clientData fLocksWithSheet="0"/>
  </xdr:oneCellAnchor>
  <xdr:oneCellAnchor>
    <xdr:from>
      <xdr:col>5</xdr:col>
      <xdr:colOff>647700</xdr:colOff>
      <xdr:row>619</xdr:row>
      <xdr:rowOff>9525</xdr:rowOff>
    </xdr:from>
    <xdr:ext cx="5857875" cy="4352925"/>
    <xdr:graphicFrame>
      <xdr:nvGraphicFramePr>
        <xdr:cNvPr id="50" name="Chart 5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0"/>
        </a:graphicData>
      </a:graphic>
    </xdr:graphicFrame>
    <xdr:clientData fLocksWithSheet="0"/>
  </xdr:oneCellAnchor>
  <xdr:oneCellAnchor>
    <xdr:from>
      <xdr:col>0</xdr:col>
      <xdr:colOff>0</xdr:colOff>
      <xdr:row>640</xdr:row>
      <xdr:rowOff>171450</xdr:rowOff>
    </xdr:from>
    <xdr:ext cx="6572250" cy="4352925"/>
    <xdr:graphicFrame>
      <xdr:nvGraphicFramePr>
        <xdr:cNvPr id="51" name="Chart 5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1"/>
        </a:graphicData>
      </a:graphic>
    </xdr:graphicFrame>
    <xdr:clientData fLocksWithSheet="0"/>
  </xdr:oneCellAnchor>
  <xdr:oneCellAnchor>
    <xdr:from>
      <xdr:col>5</xdr:col>
      <xdr:colOff>647700</xdr:colOff>
      <xdr:row>640</xdr:row>
      <xdr:rowOff>171450</xdr:rowOff>
    </xdr:from>
    <xdr:ext cx="5857875" cy="4352925"/>
    <xdr:graphicFrame>
      <xdr:nvGraphicFramePr>
        <xdr:cNvPr id="52" name="Chart 5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2"/>
        </a:graphicData>
      </a:graphic>
    </xdr:graphicFrame>
    <xdr:clientData fLocksWithSheet="0"/>
  </xdr:oneCellAnchor>
  <xdr:oneCellAnchor>
    <xdr:from>
      <xdr:col>0</xdr:col>
      <xdr:colOff>0</xdr:colOff>
      <xdr:row>662</xdr:row>
      <xdr:rowOff>133350</xdr:rowOff>
    </xdr:from>
    <xdr:ext cx="6572250" cy="4352925"/>
    <xdr:graphicFrame>
      <xdr:nvGraphicFramePr>
        <xdr:cNvPr id="53" name="Chart 5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3"/>
        </a:graphicData>
      </a:graphic>
    </xdr:graphicFrame>
    <xdr:clientData fLocksWithSheet="0"/>
  </xdr:oneCellAnchor>
  <xdr:oneCellAnchor>
    <xdr:from>
      <xdr:col>5</xdr:col>
      <xdr:colOff>647700</xdr:colOff>
      <xdr:row>662</xdr:row>
      <xdr:rowOff>133350</xdr:rowOff>
    </xdr:from>
    <xdr:ext cx="5857875" cy="4352925"/>
    <xdr:graphicFrame>
      <xdr:nvGraphicFramePr>
        <xdr:cNvPr id="54" name="Chart 5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4"/>
        </a:graphicData>
      </a:graphic>
    </xdr:graphicFrame>
    <xdr:clientData fLocksWithSheet="0"/>
  </xdr:oneCellAnchor>
  <xdr:oneCellAnchor>
    <xdr:from>
      <xdr:col>0</xdr:col>
      <xdr:colOff>0</xdr:colOff>
      <xdr:row>684</xdr:row>
      <xdr:rowOff>95250</xdr:rowOff>
    </xdr:from>
    <xdr:ext cx="6572250" cy="4352925"/>
    <xdr:graphicFrame>
      <xdr:nvGraphicFramePr>
        <xdr:cNvPr id="55" name="Chart 5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5"/>
        </a:graphicData>
      </a:graphic>
    </xdr:graphicFrame>
    <xdr:clientData fLocksWithSheet="0"/>
  </xdr:oneCellAnchor>
  <xdr:oneCellAnchor>
    <xdr:from>
      <xdr:col>5</xdr:col>
      <xdr:colOff>647700</xdr:colOff>
      <xdr:row>684</xdr:row>
      <xdr:rowOff>95250</xdr:rowOff>
    </xdr:from>
    <xdr:ext cx="5857875" cy="4352925"/>
    <xdr:graphicFrame>
      <xdr:nvGraphicFramePr>
        <xdr:cNvPr id="56" name="Chart 5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6"/>
        </a:graphicData>
      </a:graphic>
    </xdr:graphicFrame>
    <xdr:clientData fLocksWithSheet="0"/>
  </xdr:oneCellAnchor>
  <xdr:oneCellAnchor>
    <xdr:from>
      <xdr:col>0</xdr:col>
      <xdr:colOff>0</xdr:colOff>
      <xdr:row>706</xdr:row>
      <xdr:rowOff>57150</xdr:rowOff>
    </xdr:from>
    <xdr:ext cx="6572250" cy="4352925"/>
    <xdr:graphicFrame>
      <xdr:nvGraphicFramePr>
        <xdr:cNvPr id="57" name="Chart 5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7"/>
        </a:graphicData>
      </a:graphic>
    </xdr:graphicFrame>
    <xdr:clientData fLocksWithSheet="0"/>
  </xdr:oneCellAnchor>
  <xdr:oneCellAnchor>
    <xdr:from>
      <xdr:col>5</xdr:col>
      <xdr:colOff>647700</xdr:colOff>
      <xdr:row>706</xdr:row>
      <xdr:rowOff>57150</xdr:rowOff>
    </xdr:from>
    <xdr:ext cx="5857875" cy="4352925"/>
    <xdr:graphicFrame>
      <xdr:nvGraphicFramePr>
        <xdr:cNvPr id="58" name="Chart 5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8"/>
        </a:graphicData>
      </a:graphic>
    </xdr:graphicFrame>
    <xdr:clientData fLocksWithSheet="0"/>
  </xdr:oneCellAnchor>
  <xdr:oneCellAnchor>
    <xdr:from>
      <xdr:col>0</xdr:col>
      <xdr:colOff>0</xdr:colOff>
      <xdr:row>728</xdr:row>
      <xdr:rowOff>47625</xdr:rowOff>
    </xdr:from>
    <xdr:ext cx="6572250" cy="4029075"/>
    <xdr:graphicFrame>
      <xdr:nvGraphicFramePr>
        <xdr:cNvPr id="59" name="Chart 5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9"/>
        </a:graphicData>
      </a:graphic>
    </xdr:graphicFrame>
    <xdr:clientData fLocksWithSheet="0"/>
  </xdr:oneCellAnchor>
  <xdr:oneCellAnchor>
    <xdr:from>
      <xdr:col>0</xdr:col>
      <xdr:colOff>0</xdr:colOff>
      <xdr:row>748</xdr:row>
      <xdr:rowOff>76200</xdr:rowOff>
    </xdr:from>
    <xdr:ext cx="6572250" cy="4352925"/>
    <xdr:graphicFrame>
      <xdr:nvGraphicFramePr>
        <xdr:cNvPr id="60" name="Chart 6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0"/>
        </a:graphicData>
      </a:graphic>
    </xdr:graphicFrame>
    <xdr:clientData fLocksWithSheet="0"/>
  </xdr:oneCellAnchor>
  <xdr:oneCellAnchor>
    <xdr:from>
      <xdr:col>5</xdr:col>
      <xdr:colOff>647700</xdr:colOff>
      <xdr:row>748</xdr:row>
      <xdr:rowOff>76200</xdr:rowOff>
    </xdr:from>
    <xdr:ext cx="5715000" cy="4352925"/>
    <xdr:graphicFrame>
      <xdr:nvGraphicFramePr>
        <xdr:cNvPr id="61" name="Chart 6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1"/>
        </a:graphicData>
      </a:graphic>
    </xdr:graphicFrame>
    <xdr:clientData fLocksWithSheet="0"/>
  </xdr:oneCellAnchor>
  <xdr:oneCellAnchor>
    <xdr:from>
      <xdr:col>5</xdr:col>
      <xdr:colOff>647700</xdr:colOff>
      <xdr:row>770</xdr:row>
      <xdr:rowOff>38100</xdr:rowOff>
    </xdr:from>
    <xdr:ext cx="5715000" cy="4352925"/>
    <xdr:graphicFrame>
      <xdr:nvGraphicFramePr>
        <xdr:cNvPr id="62" name="Chart 6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2"/>
        </a:graphicData>
      </a:graphic>
    </xdr:graphicFrame>
    <xdr:clientData fLocksWithSheet="0"/>
  </xdr:oneCellAnchor>
  <xdr:oneCellAnchor>
    <xdr:from>
      <xdr:col>0</xdr:col>
      <xdr:colOff>0</xdr:colOff>
      <xdr:row>770</xdr:row>
      <xdr:rowOff>38100</xdr:rowOff>
    </xdr:from>
    <xdr:ext cx="6572250" cy="4352925"/>
    <xdr:graphicFrame>
      <xdr:nvGraphicFramePr>
        <xdr:cNvPr id="63" name="Chart 6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3"/>
        </a:graphicData>
      </a:graphic>
    </xdr:graphicFrame>
    <xdr:clientData fLocksWithSheet="0"/>
  </xdr:oneCellAnchor>
  <xdr:oneCellAnchor>
    <xdr:from>
      <xdr:col>0</xdr:col>
      <xdr:colOff>0</xdr:colOff>
      <xdr:row>791</xdr:row>
      <xdr:rowOff>200025</xdr:rowOff>
    </xdr:from>
    <xdr:ext cx="6572250" cy="4352925"/>
    <xdr:graphicFrame>
      <xdr:nvGraphicFramePr>
        <xdr:cNvPr id="64" name="Chart 6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4"/>
        </a:graphicData>
      </a:graphic>
    </xdr:graphicFrame>
    <xdr:clientData fLocksWithSheet="0"/>
  </xdr:oneCellAnchor>
  <xdr:oneCellAnchor>
    <xdr:from>
      <xdr:col>5</xdr:col>
      <xdr:colOff>647700</xdr:colOff>
      <xdr:row>792</xdr:row>
      <xdr:rowOff>0</xdr:rowOff>
    </xdr:from>
    <xdr:ext cx="5715000" cy="4352925"/>
    <xdr:graphicFrame>
      <xdr:nvGraphicFramePr>
        <xdr:cNvPr id="65" name="Chart 6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5"/>
        </a:graphicData>
      </a:graphic>
    </xdr:graphicFrame>
    <xdr:clientData fLocksWithSheet="0"/>
  </xdr:oneCellAnchor>
  <xdr:oneCellAnchor>
    <xdr:from>
      <xdr:col>0</xdr:col>
      <xdr:colOff>0</xdr:colOff>
      <xdr:row>813</xdr:row>
      <xdr:rowOff>161925</xdr:rowOff>
    </xdr:from>
    <xdr:ext cx="6572250" cy="4352925"/>
    <xdr:graphicFrame>
      <xdr:nvGraphicFramePr>
        <xdr:cNvPr id="66" name="Chart 6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6"/>
        </a:graphicData>
      </a:graphic>
    </xdr:graphicFrame>
    <xdr:clientData fLocksWithSheet="0"/>
  </xdr:oneCellAnchor>
  <xdr:oneCellAnchor>
    <xdr:from>
      <xdr:col>5</xdr:col>
      <xdr:colOff>647700</xdr:colOff>
      <xdr:row>813</xdr:row>
      <xdr:rowOff>161925</xdr:rowOff>
    </xdr:from>
    <xdr:ext cx="5715000" cy="4352925"/>
    <xdr:graphicFrame>
      <xdr:nvGraphicFramePr>
        <xdr:cNvPr id="67" name="Chart 6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7"/>
        </a:graphicData>
      </a:graphic>
    </xdr:graphicFrame>
    <xdr:clientData fLocksWithSheet="0"/>
  </xdr:oneCellAnchor>
  <xdr:oneCellAnchor>
    <xdr:from>
      <xdr:col>0</xdr:col>
      <xdr:colOff>0</xdr:colOff>
      <xdr:row>835</xdr:row>
      <xdr:rowOff>123825</xdr:rowOff>
    </xdr:from>
    <xdr:ext cx="6572250" cy="4352925"/>
    <xdr:graphicFrame>
      <xdr:nvGraphicFramePr>
        <xdr:cNvPr id="68" name="Chart 6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8"/>
        </a:graphicData>
      </a:graphic>
    </xdr:graphicFrame>
    <xdr:clientData fLocksWithSheet="0"/>
  </xdr:oneCellAnchor>
  <xdr:oneCellAnchor>
    <xdr:from>
      <xdr:col>5</xdr:col>
      <xdr:colOff>647700</xdr:colOff>
      <xdr:row>835</xdr:row>
      <xdr:rowOff>123825</xdr:rowOff>
    </xdr:from>
    <xdr:ext cx="5715000" cy="4352925"/>
    <xdr:graphicFrame>
      <xdr:nvGraphicFramePr>
        <xdr:cNvPr id="69" name="Chart 6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9"/>
        </a:graphicData>
      </a:graphic>
    </xdr:graphicFrame>
    <xdr:clientData fLocksWithSheet="0"/>
  </xdr:oneCellAnchor>
  <xdr:oneCellAnchor>
    <xdr:from>
      <xdr:col>0</xdr:col>
      <xdr:colOff>0</xdr:colOff>
      <xdr:row>857</xdr:row>
      <xdr:rowOff>85725</xdr:rowOff>
    </xdr:from>
    <xdr:ext cx="6572250" cy="4352925"/>
    <xdr:graphicFrame>
      <xdr:nvGraphicFramePr>
        <xdr:cNvPr id="70" name="Chart 7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0"/>
        </a:graphicData>
      </a:graphic>
    </xdr:graphicFrame>
    <xdr:clientData fLocksWithSheet="0"/>
  </xdr:oneCellAnchor>
  <xdr:oneCellAnchor>
    <xdr:from>
      <xdr:col>5</xdr:col>
      <xdr:colOff>647700</xdr:colOff>
      <xdr:row>857</xdr:row>
      <xdr:rowOff>85725</xdr:rowOff>
    </xdr:from>
    <xdr:ext cx="5715000" cy="4352925"/>
    <xdr:graphicFrame>
      <xdr:nvGraphicFramePr>
        <xdr:cNvPr id="71" name="Chart 7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1"/>
        </a:graphicData>
      </a:graphic>
    </xdr:graphicFrame>
    <xdr:clientData fLocksWithSheet="0"/>
  </xdr:oneCellAnchor>
  <xdr:oneCellAnchor>
    <xdr:from>
      <xdr:col>0</xdr:col>
      <xdr:colOff>0</xdr:colOff>
      <xdr:row>879</xdr:row>
      <xdr:rowOff>47625</xdr:rowOff>
    </xdr:from>
    <xdr:ext cx="6581775" cy="4076700"/>
    <xdr:graphicFrame>
      <xdr:nvGraphicFramePr>
        <xdr:cNvPr id="72" name="Chart 7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2"/>
        </a:graphicData>
      </a:graphic>
    </xdr:graphicFrame>
    <xdr:clientData fLocksWithSheet="0"/>
  </xdr:oneCellAnchor>
  <xdr:oneCellAnchor>
    <xdr:from>
      <xdr:col>0</xdr:col>
      <xdr:colOff>0</xdr:colOff>
      <xdr:row>900</xdr:row>
      <xdr:rowOff>238125</xdr:rowOff>
    </xdr:from>
    <xdr:ext cx="6581775" cy="3533775"/>
    <xdr:graphicFrame>
      <xdr:nvGraphicFramePr>
        <xdr:cNvPr id="73" name="Chart 7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3"/>
        </a:graphicData>
      </a:graphic>
    </xdr:graphicFrame>
    <xdr:clientData fLocksWithSheet="0"/>
  </xdr:oneCellAnchor>
  <xdr:oneCellAnchor>
    <xdr:from>
      <xdr:col>5</xdr:col>
      <xdr:colOff>647700</xdr:colOff>
      <xdr:row>900</xdr:row>
      <xdr:rowOff>238125</xdr:rowOff>
    </xdr:from>
    <xdr:ext cx="5857875" cy="3533775"/>
    <xdr:graphicFrame>
      <xdr:nvGraphicFramePr>
        <xdr:cNvPr id="74" name="Chart 7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4"/>
        </a:graphicData>
      </a:graphic>
    </xdr:graphicFrame>
    <xdr:clientData fLocksWithSheet="0"/>
  </xdr:oneCellAnchor>
  <xdr:oneCellAnchor>
    <xdr:from>
      <xdr:col>0</xdr:col>
      <xdr:colOff>0</xdr:colOff>
      <xdr:row>918</xdr:row>
      <xdr:rowOff>123825</xdr:rowOff>
    </xdr:from>
    <xdr:ext cx="6572250" cy="3533775"/>
    <xdr:graphicFrame>
      <xdr:nvGraphicFramePr>
        <xdr:cNvPr id="75" name="Chart 7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5"/>
        </a:graphicData>
      </a:graphic>
    </xdr:graphicFrame>
    <xdr:clientData fLocksWithSheet="0"/>
  </xdr:oneCellAnchor>
  <xdr:oneCellAnchor>
    <xdr:from>
      <xdr:col>5</xdr:col>
      <xdr:colOff>647700</xdr:colOff>
      <xdr:row>918</xdr:row>
      <xdr:rowOff>123825</xdr:rowOff>
    </xdr:from>
    <xdr:ext cx="5857875" cy="3533775"/>
    <xdr:graphicFrame>
      <xdr:nvGraphicFramePr>
        <xdr:cNvPr id="76" name="Chart 7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6"/>
        </a:graphicData>
      </a:graphic>
    </xdr:graphicFrame>
    <xdr:clientData fLocksWithSheet="0"/>
  </xdr:oneCellAnchor>
  <xdr:oneCellAnchor>
    <xdr:from>
      <xdr:col>0</xdr:col>
      <xdr:colOff>0</xdr:colOff>
      <xdr:row>936</xdr:row>
      <xdr:rowOff>57150</xdr:rowOff>
    </xdr:from>
    <xdr:ext cx="6572250" cy="3533775"/>
    <xdr:graphicFrame>
      <xdr:nvGraphicFramePr>
        <xdr:cNvPr id="77" name="Chart 7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7"/>
        </a:graphicData>
      </a:graphic>
    </xdr:graphicFrame>
    <xdr:clientData fLocksWithSheet="0"/>
  </xdr:oneCellAnchor>
  <xdr:oneCellAnchor>
    <xdr:from>
      <xdr:col>5</xdr:col>
      <xdr:colOff>647700</xdr:colOff>
      <xdr:row>936</xdr:row>
      <xdr:rowOff>57150</xdr:rowOff>
    </xdr:from>
    <xdr:ext cx="5857875" cy="3533775"/>
    <xdr:graphicFrame>
      <xdr:nvGraphicFramePr>
        <xdr:cNvPr id="78" name="Chart 7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8"/>
        </a:graphicData>
      </a:graphic>
    </xdr:graphicFrame>
    <xdr:clientData fLocksWithSheet="0"/>
  </xdr:oneCellAnchor>
  <xdr:oneCellAnchor>
    <xdr:from>
      <xdr:col>0</xdr:col>
      <xdr:colOff>0</xdr:colOff>
      <xdr:row>953</xdr:row>
      <xdr:rowOff>190500</xdr:rowOff>
    </xdr:from>
    <xdr:ext cx="6572250" cy="3533775"/>
    <xdr:graphicFrame>
      <xdr:nvGraphicFramePr>
        <xdr:cNvPr id="79" name="Chart 7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9"/>
        </a:graphicData>
      </a:graphic>
    </xdr:graphicFrame>
    <xdr:clientData fLocksWithSheet="0"/>
  </xdr:oneCellAnchor>
  <xdr:oneCellAnchor>
    <xdr:from>
      <xdr:col>5</xdr:col>
      <xdr:colOff>647700</xdr:colOff>
      <xdr:row>953</xdr:row>
      <xdr:rowOff>190500</xdr:rowOff>
    </xdr:from>
    <xdr:ext cx="5857875" cy="3533775"/>
    <xdr:graphicFrame>
      <xdr:nvGraphicFramePr>
        <xdr:cNvPr id="80" name="Chart 8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0"/>
        </a:graphicData>
      </a:graphic>
    </xdr:graphicFrame>
    <xdr:clientData fLocksWithSheet="0"/>
  </xdr:oneCellAnchor>
  <xdr:oneCellAnchor>
    <xdr:from>
      <xdr:col>0</xdr:col>
      <xdr:colOff>0</xdr:colOff>
      <xdr:row>971</xdr:row>
      <xdr:rowOff>123825</xdr:rowOff>
    </xdr:from>
    <xdr:ext cx="6572250" cy="3533775"/>
    <xdr:graphicFrame>
      <xdr:nvGraphicFramePr>
        <xdr:cNvPr id="81" name="Chart 8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1"/>
        </a:graphicData>
      </a:graphic>
    </xdr:graphicFrame>
    <xdr:clientData fLocksWithSheet="0"/>
  </xdr:oneCellAnchor>
  <xdr:oneCellAnchor>
    <xdr:from>
      <xdr:col>5</xdr:col>
      <xdr:colOff>647700</xdr:colOff>
      <xdr:row>971</xdr:row>
      <xdr:rowOff>123825</xdr:rowOff>
    </xdr:from>
    <xdr:ext cx="5857875" cy="3533775"/>
    <xdr:graphicFrame>
      <xdr:nvGraphicFramePr>
        <xdr:cNvPr id="82" name="Chart 8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2"/>
        </a:graphicData>
      </a:graphic>
    </xdr:graphicFrame>
    <xdr:clientData fLocksWithSheet="0"/>
  </xdr:oneCellAnchor>
  <xdr:oneCellAnchor>
    <xdr:from>
      <xdr:col>0</xdr:col>
      <xdr:colOff>0</xdr:colOff>
      <xdr:row>989</xdr:row>
      <xdr:rowOff>57150</xdr:rowOff>
    </xdr:from>
    <xdr:ext cx="6572250" cy="3533775"/>
    <xdr:graphicFrame>
      <xdr:nvGraphicFramePr>
        <xdr:cNvPr id="83" name="Chart 8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3"/>
        </a:graphicData>
      </a:graphic>
    </xdr:graphicFrame>
    <xdr:clientData fLocksWithSheet="0"/>
  </xdr:oneCellAnchor>
  <xdr:oneCellAnchor>
    <xdr:from>
      <xdr:col>5</xdr:col>
      <xdr:colOff>647700</xdr:colOff>
      <xdr:row>989</xdr:row>
      <xdr:rowOff>57150</xdr:rowOff>
    </xdr:from>
    <xdr:ext cx="5857875" cy="3533775"/>
    <xdr:graphicFrame>
      <xdr:nvGraphicFramePr>
        <xdr:cNvPr id="84" name="Chart 8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4"/>
        </a:graphicData>
      </a:graphic>
    </xdr:graphicFrame>
    <xdr:clientData fLocksWithSheet="0"/>
  </xdr:oneCellAnchor>
  <xdr:oneCellAnchor>
    <xdr:from>
      <xdr:col>0</xdr:col>
      <xdr:colOff>0</xdr:colOff>
      <xdr:row>1006</xdr:row>
      <xdr:rowOff>190500</xdr:rowOff>
    </xdr:from>
    <xdr:ext cx="6572250" cy="4114800"/>
    <xdr:graphicFrame>
      <xdr:nvGraphicFramePr>
        <xdr:cNvPr id="85" name="Chart 8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5"/>
        </a:graphicData>
      </a:graphic>
    </xdr:graphicFrame>
    <xdr:clientData fLocksWithSheet="0"/>
  </xdr:oneCellAnchor>
  <xdr:oneCellAnchor>
    <xdr:from>
      <xdr:col>0</xdr:col>
      <xdr:colOff>0</xdr:colOff>
      <xdr:row>1027</xdr:row>
      <xdr:rowOff>114300</xdr:rowOff>
    </xdr:from>
    <xdr:ext cx="6581775" cy="4533900"/>
    <xdr:graphicFrame>
      <xdr:nvGraphicFramePr>
        <xdr:cNvPr id="86" name="Chart 8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6"/>
        </a:graphicData>
      </a:graphic>
    </xdr:graphicFrame>
    <xdr:clientData fLocksWithSheet="0"/>
  </xdr:oneCellAnchor>
  <xdr:oneCellAnchor>
    <xdr:from>
      <xdr:col>0</xdr:col>
      <xdr:colOff>0</xdr:colOff>
      <xdr:row>1050</xdr:row>
      <xdr:rowOff>57150</xdr:rowOff>
    </xdr:from>
    <xdr:ext cx="6581775" cy="4533900"/>
    <xdr:graphicFrame>
      <xdr:nvGraphicFramePr>
        <xdr:cNvPr id="87" name="Chart 8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7"/>
        </a:graphicData>
      </a:graphic>
    </xdr:graphicFrame>
    <xdr:clientData fLocksWithSheet="0"/>
  </xdr:oneCellAnchor>
  <xdr:oneCellAnchor>
    <xdr:from>
      <xdr:col>5</xdr:col>
      <xdr:colOff>647700</xdr:colOff>
      <xdr:row>1027</xdr:row>
      <xdr:rowOff>114300</xdr:rowOff>
    </xdr:from>
    <xdr:ext cx="5857875" cy="4533900"/>
    <xdr:graphicFrame>
      <xdr:nvGraphicFramePr>
        <xdr:cNvPr id="88" name="Chart 8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8"/>
        </a:graphicData>
      </a:graphic>
    </xdr:graphicFrame>
    <xdr:clientData fLocksWithSheet="0"/>
  </xdr:oneCellAnchor>
  <xdr:oneCellAnchor>
    <xdr:from>
      <xdr:col>5</xdr:col>
      <xdr:colOff>647700</xdr:colOff>
      <xdr:row>1050</xdr:row>
      <xdr:rowOff>57150</xdr:rowOff>
    </xdr:from>
    <xdr:ext cx="5857875" cy="4533900"/>
    <xdr:graphicFrame>
      <xdr:nvGraphicFramePr>
        <xdr:cNvPr id="89" name="Chart 8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9"/>
        </a:graphicData>
      </a:graphic>
    </xdr:graphicFrame>
    <xdr:clientData fLocksWithSheet="0"/>
  </xdr:oneCellAnchor>
  <xdr:oneCellAnchor>
    <xdr:from>
      <xdr:col>0</xdr:col>
      <xdr:colOff>0</xdr:colOff>
      <xdr:row>1072</xdr:row>
      <xdr:rowOff>200025</xdr:rowOff>
    </xdr:from>
    <xdr:ext cx="6581775" cy="4533900"/>
    <xdr:graphicFrame>
      <xdr:nvGraphicFramePr>
        <xdr:cNvPr id="90" name="Chart 9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0"/>
        </a:graphicData>
      </a:graphic>
    </xdr:graphicFrame>
    <xdr:clientData fLocksWithSheet="0"/>
  </xdr:oneCellAnchor>
  <xdr:oneCellAnchor>
    <xdr:from>
      <xdr:col>5</xdr:col>
      <xdr:colOff>647700</xdr:colOff>
      <xdr:row>1073</xdr:row>
      <xdr:rowOff>0</xdr:rowOff>
    </xdr:from>
    <xdr:ext cx="5857875" cy="4533900"/>
    <xdr:graphicFrame>
      <xdr:nvGraphicFramePr>
        <xdr:cNvPr id="91" name="Chart 9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1"/>
        </a:graphicData>
      </a:graphic>
    </xdr:graphicFrame>
    <xdr:clientData fLocksWithSheet="0"/>
  </xdr:oneCellAnchor>
  <xdr:oneCellAnchor>
    <xdr:from>
      <xdr:col>0</xdr:col>
      <xdr:colOff>0</xdr:colOff>
      <xdr:row>1095</xdr:row>
      <xdr:rowOff>142875</xdr:rowOff>
    </xdr:from>
    <xdr:ext cx="6581775" cy="4533900"/>
    <xdr:graphicFrame>
      <xdr:nvGraphicFramePr>
        <xdr:cNvPr id="92" name="Chart 9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2"/>
        </a:graphicData>
      </a:graphic>
    </xdr:graphicFrame>
    <xdr:clientData fLocksWithSheet="0"/>
  </xdr:oneCellAnchor>
  <xdr:oneCellAnchor>
    <xdr:from>
      <xdr:col>5</xdr:col>
      <xdr:colOff>647700</xdr:colOff>
      <xdr:row>1095</xdr:row>
      <xdr:rowOff>142875</xdr:rowOff>
    </xdr:from>
    <xdr:ext cx="5857875" cy="4533900"/>
    <xdr:graphicFrame>
      <xdr:nvGraphicFramePr>
        <xdr:cNvPr id="93" name="Chart 9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3"/>
        </a:graphicData>
      </a:graphic>
    </xdr:graphicFrame>
    <xdr:clientData fLocksWithSheet="0"/>
  </xdr:oneCellAnchor>
  <xdr:oneCellAnchor>
    <xdr:from>
      <xdr:col>0</xdr:col>
      <xdr:colOff>0</xdr:colOff>
      <xdr:row>1118</xdr:row>
      <xdr:rowOff>85725</xdr:rowOff>
    </xdr:from>
    <xdr:ext cx="6581775" cy="4533900"/>
    <xdr:graphicFrame>
      <xdr:nvGraphicFramePr>
        <xdr:cNvPr id="94" name="Chart 9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4"/>
        </a:graphicData>
      </a:graphic>
    </xdr:graphicFrame>
    <xdr:clientData fLocksWithSheet="0"/>
  </xdr:oneCellAnchor>
  <xdr:oneCellAnchor>
    <xdr:from>
      <xdr:col>5</xdr:col>
      <xdr:colOff>647700</xdr:colOff>
      <xdr:row>1118</xdr:row>
      <xdr:rowOff>85725</xdr:rowOff>
    </xdr:from>
    <xdr:ext cx="5857875" cy="4533900"/>
    <xdr:graphicFrame>
      <xdr:nvGraphicFramePr>
        <xdr:cNvPr id="95" name="Chart 9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5"/>
        </a:graphicData>
      </a:graphic>
    </xdr:graphicFrame>
    <xdr:clientData fLocksWithSheet="0"/>
  </xdr:oneCellAnchor>
  <xdr:oneCellAnchor>
    <xdr:from>
      <xdr:col>0</xdr:col>
      <xdr:colOff>0</xdr:colOff>
      <xdr:row>1141</xdr:row>
      <xdr:rowOff>28575</xdr:rowOff>
    </xdr:from>
    <xdr:ext cx="6581775" cy="4533900"/>
    <xdr:graphicFrame>
      <xdr:nvGraphicFramePr>
        <xdr:cNvPr id="96" name="Chart 9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6"/>
        </a:graphicData>
      </a:graphic>
    </xdr:graphicFrame>
    <xdr:clientData fLocksWithSheet="0"/>
  </xdr:oneCellAnchor>
  <xdr:oneCellAnchor>
    <xdr:from>
      <xdr:col>5</xdr:col>
      <xdr:colOff>647700</xdr:colOff>
      <xdr:row>1141</xdr:row>
      <xdr:rowOff>28575</xdr:rowOff>
    </xdr:from>
    <xdr:ext cx="5857875" cy="4533900"/>
    <xdr:graphicFrame>
      <xdr:nvGraphicFramePr>
        <xdr:cNvPr id="97" name="Chart 9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7"/>
        </a:graphicData>
      </a:graphic>
    </xdr:graphicFrame>
    <xdr:clientData fLocksWithSheet="0"/>
  </xdr:oneCellAnchor>
  <xdr:oneCellAnchor>
    <xdr:from>
      <xdr:col>0</xdr:col>
      <xdr:colOff>0</xdr:colOff>
      <xdr:row>7</xdr:row>
      <xdr:rowOff>9525</xdr:rowOff>
    </xdr:from>
    <xdr:ext cx="12420600" cy="5467350"/>
    <xdr:graphicFrame>
      <xdr:nvGraphicFramePr>
        <xdr:cNvPr id="98" name="Chart 9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8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12420600" cy="5534025"/>
    <xdr:graphicFrame>
      <xdr:nvGraphicFramePr>
        <xdr:cNvPr id="99" name="Chart 9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54</xdr:row>
      <xdr:rowOff>133350</xdr:rowOff>
    </xdr:from>
    <xdr:ext cx="6572250" cy="4591050"/>
    <xdr:graphicFrame>
      <xdr:nvGraphicFramePr>
        <xdr:cNvPr id="100" name="Chart 10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666750</xdr:colOff>
      <xdr:row>54</xdr:row>
      <xdr:rowOff>133350</xdr:rowOff>
    </xdr:from>
    <xdr:ext cx="6286500" cy="4591050"/>
    <xdr:graphicFrame>
      <xdr:nvGraphicFramePr>
        <xdr:cNvPr id="101" name="Chart 10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77</xdr:row>
      <xdr:rowOff>133350</xdr:rowOff>
    </xdr:from>
    <xdr:ext cx="6572250" cy="4505325"/>
    <xdr:graphicFrame>
      <xdr:nvGraphicFramePr>
        <xdr:cNvPr id="102" name="Chart 10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666750</xdr:colOff>
      <xdr:row>77</xdr:row>
      <xdr:rowOff>133350</xdr:rowOff>
    </xdr:from>
    <xdr:ext cx="6296025" cy="4505325"/>
    <xdr:graphicFrame>
      <xdr:nvGraphicFramePr>
        <xdr:cNvPr id="103" name="Chart 10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657225</xdr:colOff>
      <xdr:row>100</xdr:row>
      <xdr:rowOff>171450</xdr:rowOff>
    </xdr:from>
    <xdr:ext cx="6286500" cy="4124325"/>
    <xdr:graphicFrame>
      <xdr:nvGraphicFramePr>
        <xdr:cNvPr id="104" name="Chart 10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100</xdr:row>
      <xdr:rowOff>171450</xdr:rowOff>
    </xdr:from>
    <xdr:ext cx="6572250" cy="4124325"/>
    <xdr:graphicFrame>
      <xdr:nvGraphicFramePr>
        <xdr:cNvPr id="105" name="Chart 10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0</xdr:colOff>
      <xdr:row>121</xdr:row>
      <xdr:rowOff>95250</xdr:rowOff>
    </xdr:from>
    <xdr:ext cx="6572250" cy="4124325"/>
    <xdr:graphicFrame>
      <xdr:nvGraphicFramePr>
        <xdr:cNvPr id="106" name="Chart 10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647700</xdr:colOff>
      <xdr:row>121</xdr:row>
      <xdr:rowOff>95250</xdr:rowOff>
    </xdr:from>
    <xdr:ext cx="6305550" cy="4124325"/>
    <xdr:graphicFrame>
      <xdr:nvGraphicFramePr>
        <xdr:cNvPr id="107" name="Chart 10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0</xdr:colOff>
      <xdr:row>142</xdr:row>
      <xdr:rowOff>123825</xdr:rowOff>
    </xdr:from>
    <xdr:ext cx="6572250" cy="3533775"/>
    <xdr:graphicFrame>
      <xdr:nvGraphicFramePr>
        <xdr:cNvPr id="108" name="Chart 10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5</xdr:col>
      <xdr:colOff>657225</xdr:colOff>
      <xdr:row>142</xdr:row>
      <xdr:rowOff>123825</xdr:rowOff>
    </xdr:from>
    <xdr:ext cx="6305550" cy="3533775"/>
    <xdr:graphicFrame>
      <xdr:nvGraphicFramePr>
        <xdr:cNvPr id="109" name="Chart 10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0</xdr:colOff>
      <xdr:row>160</xdr:row>
      <xdr:rowOff>104775</xdr:rowOff>
    </xdr:from>
    <xdr:ext cx="6572250" cy="3533775"/>
    <xdr:graphicFrame>
      <xdr:nvGraphicFramePr>
        <xdr:cNvPr id="110" name="Chart 1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5</xdr:col>
      <xdr:colOff>657225</xdr:colOff>
      <xdr:row>160</xdr:row>
      <xdr:rowOff>104775</xdr:rowOff>
    </xdr:from>
    <xdr:ext cx="6305550" cy="3533775"/>
    <xdr:graphicFrame>
      <xdr:nvGraphicFramePr>
        <xdr:cNvPr id="111" name="Chart 1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0</xdr:col>
      <xdr:colOff>0</xdr:colOff>
      <xdr:row>178</xdr:row>
      <xdr:rowOff>38100</xdr:rowOff>
    </xdr:from>
    <xdr:ext cx="6572250" cy="3533775"/>
    <xdr:graphicFrame>
      <xdr:nvGraphicFramePr>
        <xdr:cNvPr id="112" name="Chart 1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5</xdr:col>
      <xdr:colOff>657225</xdr:colOff>
      <xdr:row>178</xdr:row>
      <xdr:rowOff>38100</xdr:rowOff>
    </xdr:from>
    <xdr:ext cx="6305550" cy="3533775"/>
    <xdr:graphicFrame>
      <xdr:nvGraphicFramePr>
        <xdr:cNvPr id="113" name="Chart 1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5</xdr:col>
      <xdr:colOff>647700</xdr:colOff>
      <xdr:row>195</xdr:row>
      <xdr:rowOff>171450</xdr:rowOff>
    </xdr:from>
    <xdr:ext cx="6305550" cy="3533775"/>
    <xdr:graphicFrame>
      <xdr:nvGraphicFramePr>
        <xdr:cNvPr id="114" name="Chart 1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0</xdr:col>
      <xdr:colOff>0</xdr:colOff>
      <xdr:row>207</xdr:row>
      <xdr:rowOff>1304925</xdr:rowOff>
    </xdr:from>
    <xdr:ext cx="6572250" cy="3533775"/>
    <xdr:graphicFrame>
      <xdr:nvGraphicFramePr>
        <xdr:cNvPr id="115" name="Chart 1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5</xdr:col>
      <xdr:colOff>657225</xdr:colOff>
      <xdr:row>207</xdr:row>
      <xdr:rowOff>1304925</xdr:rowOff>
    </xdr:from>
    <xdr:ext cx="6305550" cy="3533775"/>
    <xdr:graphicFrame>
      <xdr:nvGraphicFramePr>
        <xdr:cNvPr id="116" name="Chart 1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0</xdr:col>
      <xdr:colOff>0</xdr:colOff>
      <xdr:row>216</xdr:row>
      <xdr:rowOff>133350</xdr:rowOff>
    </xdr:from>
    <xdr:ext cx="6572250" cy="3533775"/>
    <xdr:graphicFrame>
      <xdr:nvGraphicFramePr>
        <xdr:cNvPr id="117" name="Chart 1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5</xdr:col>
      <xdr:colOff>647700</xdr:colOff>
      <xdr:row>216</xdr:row>
      <xdr:rowOff>133350</xdr:rowOff>
    </xdr:from>
    <xdr:ext cx="6305550" cy="3533775"/>
    <xdr:graphicFrame>
      <xdr:nvGraphicFramePr>
        <xdr:cNvPr id="118" name="Chart 1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0</xdr:col>
      <xdr:colOff>0</xdr:colOff>
      <xdr:row>234</xdr:row>
      <xdr:rowOff>66675</xdr:rowOff>
    </xdr:from>
    <xdr:ext cx="6572250" cy="3533775"/>
    <xdr:graphicFrame>
      <xdr:nvGraphicFramePr>
        <xdr:cNvPr id="119" name="Chart 1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5</xdr:col>
      <xdr:colOff>657225</xdr:colOff>
      <xdr:row>234</xdr:row>
      <xdr:rowOff>66675</xdr:rowOff>
    </xdr:from>
    <xdr:ext cx="6305550" cy="3533775"/>
    <xdr:graphicFrame>
      <xdr:nvGraphicFramePr>
        <xdr:cNvPr id="120" name="Chart 1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0</xdr:col>
      <xdr:colOff>0</xdr:colOff>
      <xdr:row>244</xdr:row>
      <xdr:rowOff>190500</xdr:rowOff>
    </xdr:from>
    <xdr:ext cx="6572250" cy="3752850"/>
    <xdr:graphicFrame>
      <xdr:nvGraphicFramePr>
        <xdr:cNvPr id="121" name="Chart 1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0</xdr:col>
      <xdr:colOff>0</xdr:colOff>
      <xdr:row>263</xdr:row>
      <xdr:rowOff>152400</xdr:rowOff>
    </xdr:from>
    <xdr:ext cx="6572250" cy="3533775"/>
    <xdr:graphicFrame>
      <xdr:nvGraphicFramePr>
        <xdr:cNvPr id="122" name="Chart 1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5</xdr:col>
      <xdr:colOff>657225</xdr:colOff>
      <xdr:row>263</xdr:row>
      <xdr:rowOff>152400</xdr:rowOff>
    </xdr:from>
    <xdr:ext cx="6286500" cy="3533775"/>
    <xdr:graphicFrame>
      <xdr:nvGraphicFramePr>
        <xdr:cNvPr id="123" name="Chart 1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0</xdr:col>
      <xdr:colOff>0</xdr:colOff>
      <xdr:row>281</xdr:row>
      <xdr:rowOff>95250</xdr:rowOff>
    </xdr:from>
    <xdr:ext cx="6572250" cy="3533775"/>
    <xdr:graphicFrame>
      <xdr:nvGraphicFramePr>
        <xdr:cNvPr id="124" name="Chart 1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5</xdr:col>
      <xdr:colOff>657225</xdr:colOff>
      <xdr:row>281</xdr:row>
      <xdr:rowOff>95250</xdr:rowOff>
    </xdr:from>
    <xdr:ext cx="6305550" cy="3533775"/>
    <xdr:graphicFrame>
      <xdr:nvGraphicFramePr>
        <xdr:cNvPr id="125" name="Chart 1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0</xdr:col>
      <xdr:colOff>0</xdr:colOff>
      <xdr:row>299</xdr:row>
      <xdr:rowOff>28575</xdr:rowOff>
    </xdr:from>
    <xdr:ext cx="6572250" cy="3533775"/>
    <xdr:graphicFrame>
      <xdr:nvGraphicFramePr>
        <xdr:cNvPr id="126" name="Chart 12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  <xdr:oneCellAnchor>
    <xdr:from>
      <xdr:col>5</xdr:col>
      <xdr:colOff>657225</xdr:colOff>
      <xdr:row>299</xdr:row>
      <xdr:rowOff>28575</xdr:rowOff>
    </xdr:from>
    <xdr:ext cx="6305550" cy="3533775"/>
    <xdr:graphicFrame>
      <xdr:nvGraphicFramePr>
        <xdr:cNvPr id="127" name="Chart 12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 fLocksWithSheet="0"/>
  </xdr:oneCellAnchor>
  <xdr:oneCellAnchor>
    <xdr:from>
      <xdr:col>0</xdr:col>
      <xdr:colOff>0</xdr:colOff>
      <xdr:row>316</xdr:row>
      <xdr:rowOff>180975</xdr:rowOff>
    </xdr:from>
    <xdr:ext cx="6572250" cy="3533775"/>
    <xdr:graphicFrame>
      <xdr:nvGraphicFramePr>
        <xdr:cNvPr id="128" name="Chart 12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0"/>
        </a:graphicData>
      </a:graphic>
    </xdr:graphicFrame>
    <xdr:clientData fLocksWithSheet="0"/>
  </xdr:oneCellAnchor>
  <xdr:oneCellAnchor>
    <xdr:from>
      <xdr:col>5</xdr:col>
      <xdr:colOff>657225</xdr:colOff>
      <xdr:row>316</xdr:row>
      <xdr:rowOff>180975</xdr:rowOff>
    </xdr:from>
    <xdr:ext cx="6305550" cy="3533775"/>
    <xdr:graphicFrame>
      <xdr:nvGraphicFramePr>
        <xdr:cNvPr id="129" name="Chart 12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1"/>
        </a:graphicData>
      </a:graphic>
    </xdr:graphicFrame>
    <xdr:clientData fLocksWithSheet="0"/>
  </xdr:oneCellAnchor>
  <xdr:oneCellAnchor>
    <xdr:from>
      <xdr:col>0</xdr:col>
      <xdr:colOff>0</xdr:colOff>
      <xdr:row>334</xdr:row>
      <xdr:rowOff>104775</xdr:rowOff>
    </xdr:from>
    <xdr:ext cx="6572250" cy="3533775"/>
    <xdr:graphicFrame>
      <xdr:nvGraphicFramePr>
        <xdr:cNvPr id="130" name="Chart 13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2"/>
        </a:graphicData>
      </a:graphic>
    </xdr:graphicFrame>
    <xdr:clientData fLocksWithSheet="0"/>
  </xdr:oneCellAnchor>
  <xdr:oneCellAnchor>
    <xdr:from>
      <xdr:col>5</xdr:col>
      <xdr:colOff>657225</xdr:colOff>
      <xdr:row>334</xdr:row>
      <xdr:rowOff>104775</xdr:rowOff>
    </xdr:from>
    <xdr:ext cx="6305550" cy="3533775"/>
    <xdr:graphicFrame>
      <xdr:nvGraphicFramePr>
        <xdr:cNvPr id="131" name="Chart 13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3"/>
        </a:graphicData>
      </a:graphic>
    </xdr:graphicFrame>
    <xdr:clientData fLocksWithSheet="0"/>
  </xdr:oneCellAnchor>
  <xdr:oneCellAnchor>
    <xdr:from>
      <xdr:col>0</xdr:col>
      <xdr:colOff>0</xdr:colOff>
      <xdr:row>352</xdr:row>
      <xdr:rowOff>38100</xdr:rowOff>
    </xdr:from>
    <xdr:ext cx="6572250" cy="3533775"/>
    <xdr:graphicFrame>
      <xdr:nvGraphicFramePr>
        <xdr:cNvPr id="132" name="Chart 13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4"/>
        </a:graphicData>
      </a:graphic>
    </xdr:graphicFrame>
    <xdr:clientData fLocksWithSheet="0"/>
  </xdr:oneCellAnchor>
  <xdr:oneCellAnchor>
    <xdr:from>
      <xdr:col>5</xdr:col>
      <xdr:colOff>657225</xdr:colOff>
      <xdr:row>352</xdr:row>
      <xdr:rowOff>38100</xdr:rowOff>
    </xdr:from>
    <xdr:ext cx="6305550" cy="3533775"/>
    <xdr:graphicFrame>
      <xdr:nvGraphicFramePr>
        <xdr:cNvPr id="133" name="Chart 13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5"/>
        </a:graphicData>
      </a:graphic>
    </xdr:graphicFrame>
    <xdr:clientData fLocksWithSheet="0"/>
  </xdr:oneCellAnchor>
  <xdr:oneCellAnchor>
    <xdr:from>
      <xdr:col>5</xdr:col>
      <xdr:colOff>647700</xdr:colOff>
      <xdr:row>244</xdr:row>
      <xdr:rowOff>190500</xdr:rowOff>
    </xdr:from>
    <xdr:ext cx="6305550" cy="3752850"/>
    <xdr:graphicFrame>
      <xdr:nvGraphicFramePr>
        <xdr:cNvPr id="134" name="Chart 13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6"/>
        </a:graphicData>
      </a:graphic>
    </xdr:graphicFrame>
    <xdr:clientData fLocksWithSheet="0"/>
  </xdr:oneCellAnchor>
  <xdr:oneCellAnchor>
    <xdr:from>
      <xdr:col>0</xdr:col>
      <xdr:colOff>0</xdr:colOff>
      <xdr:row>32</xdr:row>
      <xdr:rowOff>19050</xdr:rowOff>
    </xdr:from>
    <xdr:ext cx="12420600" cy="4438650"/>
    <xdr:graphicFrame>
      <xdr:nvGraphicFramePr>
        <xdr:cNvPr id="135" name="Chart 13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7"/>
        </a:graphicData>
      </a:graphic>
    </xdr:graphicFrame>
    <xdr:clientData fLocksWithSheet="0"/>
  </xdr:oneCellAnchor>
  <xdr:oneCellAnchor>
    <xdr:from>
      <xdr:col>0</xdr:col>
      <xdr:colOff>0</xdr:colOff>
      <xdr:row>370</xdr:row>
      <xdr:rowOff>152400</xdr:rowOff>
    </xdr:from>
    <xdr:ext cx="6591300" cy="4000500"/>
    <xdr:graphicFrame>
      <xdr:nvGraphicFramePr>
        <xdr:cNvPr id="136" name="Chart 13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8"/>
        </a:graphicData>
      </a:graphic>
    </xdr:graphicFrame>
    <xdr:clientData fLocksWithSheet="0"/>
  </xdr:oneCellAnchor>
  <xdr:oneCellAnchor>
    <xdr:from>
      <xdr:col>0</xdr:col>
      <xdr:colOff>0</xdr:colOff>
      <xdr:row>393</xdr:row>
      <xdr:rowOff>276225</xdr:rowOff>
    </xdr:from>
    <xdr:ext cx="6591300" cy="4000500"/>
    <xdr:graphicFrame>
      <xdr:nvGraphicFramePr>
        <xdr:cNvPr id="137" name="Chart 13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9"/>
        </a:graphicData>
      </a:graphic>
    </xdr:graphicFrame>
    <xdr:clientData fLocksWithSheet="0"/>
  </xdr:oneCellAnchor>
  <xdr:oneCellAnchor>
    <xdr:from>
      <xdr:col>0</xdr:col>
      <xdr:colOff>0</xdr:colOff>
      <xdr:row>394</xdr:row>
      <xdr:rowOff>76200</xdr:rowOff>
    </xdr:from>
    <xdr:ext cx="6591300" cy="3533775"/>
    <xdr:graphicFrame>
      <xdr:nvGraphicFramePr>
        <xdr:cNvPr id="138" name="Chart 13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0"/>
        </a:graphicData>
      </a:graphic>
    </xdr:graphicFrame>
    <xdr:clientData fLocksWithSheet="0"/>
  </xdr:oneCellAnchor>
  <xdr:oneCellAnchor>
    <xdr:from>
      <xdr:col>0</xdr:col>
      <xdr:colOff>0</xdr:colOff>
      <xdr:row>411</xdr:row>
      <xdr:rowOff>171450</xdr:rowOff>
    </xdr:from>
    <xdr:ext cx="6572250" cy="3533775"/>
    <xdr:graphicFrame>
      <xdr:nvGraphicFramePr>
        <xdr:cNvPr id="139" name="Chart 13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1"/>
        </a:graphicData>
      </a:graphic>
    </xdr:graphicFrame>
    <xdr:clientData fLocksWithSheet="0"/>
  </xdr:oneCellAnchor>
  <xdr:oneCellAnchor>
    <xdr:from>
      <xdr:col>0</xdr:col>
      <xdr:colOff>0</xdr:colOff>
      <xdr:row>429</xdr:row>
      <xdr:rowOff>114300</xdr:rowOff>
    </xdr:from>
    <xdr:ext cx="6572250" cy="3600450"/>
    <xdr:graphicFrame>
      <xdr:nvGraphicFramePr>
        <xdr:cNvPr id="140" name="Chart 14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2"/>
        </a:graphicData>
      </a:graphic>
    </xdr:graphicFrame>
    <xdr:clientData fLocksWithSheet="0"/>
  </xdr:oneCellAnchor>
  <xdr:oneCellAnchor>
    <xdr:from>
      <xdr:col>0</xdr:col>
      <xdr:colOff>0</xdr:colOff>
      <xdr:row>450</xdr:row>
      <xdr:rowOff>38100</xdr:rowOff>
    </xdr:from>
    <xdr:ext cx="6572250" cy="3600450"/>
    <xdr:graphicFrame>
      <xdr:nvGraphicFramePr>
        <xdr:cNvPr id="141" name="Chart 14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3"/>
        </a:graphicData>
      </a:graphic>
    </xdr:graphicFrame>
    <xdr:clientData fLocksWithSheet="0"/>
  </xdr:oneCellAnchor>
  <xdr:oneCellAnchor>
    <xdr:from>
      <xdr:col>0</xdr:col>
      <xdr:colOff>0</xdr:colOff>
      <xdr:row>468</xdr:row>
      <xdr:rowOff>47625</xdr:rowOff>
    </xdr:from>
    <xdr:ext cx="6572250" cy="3600450"/>
    <xdr:graphicFrame>
      <xdr:nvGraphicFramePr>
        <xdr:cNvPr id="142" name="Chart 14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4"/>
        </a:graphicData>
      </a:graphic>
    </xdr:graphicFrame>
    <xdr:clientData fLocksWithSheet="0"/>
  </xdr:oneCellAnchor>
  <xdr:oneCellAnchor>
    <xdr:from>
      <xdr:col>0</xdr:col>
      <xdr:colOff>0</xdr:colOff>
      <xdr:row>486</xdr:row>
      <xdr:rowOff>57150</xdr:rowOff>
    </xdr:from>
    <xdr:ext cx="6572250" cy="3600450"/>
    <xdr:graphicFrame>
      <xdr:nvGraphicFramePr>
        <xdr:cNvPr id="143" name="Chart 14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5"/>
        </a:graphicData>
      </a:graphic>
    </xdr:graphicFrame>
    <xdr:clientData fLocksWithSheet="0"/>
  </xdr:oneCellAnchor>
  <xdr:oneCellAnchor>
    <xdr:from>
      <xdr:col>0</xdr:col>
      <xdr:colOff>0</xdr:colOff>
      <xdr:row>522</xdr:row>
      <xdr:rowOff>95250</xdr:rowOff>
    </xdr:from>
    <xdr:ext cx="6572250" cy="3600450"/>
    <xdr:graphicFrame>
      <xdr:nvGraphicFramePr>
        <xdr:cNvPr id="144" name="Chart 14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6"/>
        </a:graphicData>
      </a:graphic>
    </xdr:graphicFrame>
    <xdr:clientData fLocksWithSheet="0"/>
  </xdr:oneCellAnchor>
  <xdr:oneCellAnchor>
    <xdr:from>
      <xdr:col>0</xdr:col>
      <xdr:colOff>0</xdr:colOff>
      <xdr:row>540</xdr:row>
      <xdr:rowOff>104775</xdr:rowOff>
    </xdr:from>
    <xdr:ext cx="6572250" cy="3600450"/>
    <xdr:graphicFrame>
      <xdr:nvGraphicFramePr>
        <xdr:cNvPr id="145" name="Chart 14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7"/>
        </a:graphicData>
      </a:graphic>
    </xdr:graphicFrame>
    <xdr:clientData fLocksWithSheet="0"/>
  </xdr:oneCellAnchor>
  <xdr:oneCellAnchor>
    <xdr:from>
      <xdr:col>0</xdr:col>
      <xdr:colOff>0</xdr:colOff>
      <xdr:row>558</xdr:row>
      <xdr:rowOff>114300</xdr:rowOff>
    </xdr:from>
    <xdr:ext cx="6572250" cy="3600450"/>
    <xdr:graphicFrame>
      <xdr:nvGraphicFramePr>
        <xdr:cNvPr id="146" name="Chart 14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8"/>
        </a:graphicData>
      </a:graphic>
    </xdr:graphicFrame>
    <xdr:clientData fLocksWithSheet="0"/>
  </xdr:oneCellAnchor>
  <xdr:oneCellAnchor>
    <xdr:from>
      <xdr:col>0</xdr:col>
      <xdr:colOff>0</xdr:colOff>
      <xdr:row>576</xdr:row>
      <xdr:rowOff>123825</xdr:rowOff>
    </xdr:from>
    <xdr:ext cx="6572250" cy="3600450"/>
    <xdr:graphicFrame>
      <xdr:nvGraphicFramePr>
        <xdr:cNvPr id="147" name="Chart 14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9"/>
        </a:graphicData>
      </a:graphic>
    </xdr:graphicFrame>
    <xdr:clientData fLocksWithSheet="0"/>
  </xdr:oneCellAnchor>
  <xdr:oneCellAnchor>
    <xdr:from>
      <xdr:col>0</xdr:col>
      <xdr:colOff>0</xdr:colOff>
      <xdr:row>577</xdr:row>
      <xdr:rowOff>1590675</xdr:rowOff>
    </xdr:from>
    <xdr:ext cx="6572250" cy="3600450"/>
    <xdr:graphicFrame>
      <xdr:nvGraphicFramePr>
        <xdr:cNvPr id="148" name="Chart 14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0"/>
        </a:graphicData>
      </a:graphic>
    </xdr:graphicFrame>
    <xdr:clientData fLocksWithSheet="0"/>
  </xdr:oneCellAnchor>
  <xdr:oneCellAnchor>
    <xdr:from>
      <xdr:col>5</xdr:col>
      <xdr:colOff>657225</xdr:colOff>
      <xdr:row>393</xdr:row>
      <xdr:rowOff>276225</xdr:rowOff>
    </xdr:from>
    <xdr:ext cx="6305550" cy="3981450"/>
    <xdr:graphicFrame>
      <xdr:nvGraphicFramePr>
        <xdr:cNvPr id="149" name="Chart 14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1"/>
        </a:graphicData>
      </a:graphic>
    </xdr:graphicFrame>
    <xdr:clientData fLocksWithSheet="0"/>
  </xdr:oneCellAnchor>
  <xdr:oneCellAnchor>
    <xdr:from>
      <xdr:col>0</xdr:col>
      <xdr:colOff>0</xdr:colOff>
      <xdr:row>583</xdr:row>
      <xdr:rowOff>0</xdr:rowOff>
    </xdr:from>
    <xdr:ext cx="6572250" cy="3838575"/>
    <xdr:graphicFrame>
      <xdr:nvGraphicFramePr>
        <xdr:cNvPr id="150" name="Chart 15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2"/>
        </a:graphicData>
      </a:graphic>
    </xdr:graphicFrame>
    <xdr:clientData fLocksWithSheet="0"/>
  </xdr:oneCellAnchor>
  <xdr:oneCellAnchor>
    <xdr:from>
      <xdr:col>5</xdr:col>
      <xdr:colOff>666750</xdr:colOff>
      <xdr:row>603</xdr:row>
      <xdr:rowOff>57150</xdr:rowOff>
    </xdr:from>
    <xdr:ext cx="6286500" cy="3533775"/>
    <xdr:graphicFrame>
      <xdr:nvGraphicFramePr>
        <xdr:cNvPr id="151" name="Chart 15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3"/>
        </a:graphicData>
      </a:graphic>
    </xdr:graphicFrame>
    <xdr:clientData fLocksWithSheet="0"/>
  </xdr:oneCellAnchor>
  <xdr:oneCellAnchor>
    <xdr:from>
      <xdr:col>0</xdr:col>
      <xdr:colOff>0</xdr:colOff>
      <xdr:row>603</xdr:row>
      <xdr:rowOff>57150</xdr:rowOff>
    </xdr:from>
    <xdr:ext cx="6572250" cy="3533775"/>
    <xdr:graphicFrame>
      <xdr:nvGraphicFramePr>
        <xdr:cNvPr id="152" name="Chart 15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4"/>
        </a:graphicData>
      </a:graphic>
    </xdr:graphicFrame>
    <xdr:clientData fLocksWithSheet="0"/>
  </xdr:oneCellAnchor>
  <xdr:oneCellAnchor>
    <xdr:from>
      <xdr:col>0</xdr:col>
      <xdr:colOff>0</xdr:colOff>
      <xdr:row>621</xdr:row>
      <xdr:rowOff>0</xdr:rowOff>
    </xdr:from>
    <xdr:ext cx="6572250" cy="3838575"/>
    <xdr:graphicFrame>
      <xdr:nvGraphicFramePr>
        <xdr:cNvPr id="153" name="Chart 15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5"/>
        </a:graphicData>
      </a:graphic>
    </xdr:graphicFrame>
    <xdr:clientData fLocksWithSheet="0"/>
  </xdr:oneCellAnchor>
  <xdr:oneCellAnchor>
    <xdr:from>
      <xdr:col>5</xdr:col>
      <xdr:colOff>657225</xdr:colOff>
      <xdr:row>621</xdr:row>
      <xdr:rowOff>0</xdr:rowOff>
    </xdr:from>
    <xdr:ext cx="6305550" cy="3838575"/>
    <xdr:graphicFrame>
      <xdr:nvGraphicFramePr>
        <xdr:cNvPr id="154" name="Chart 15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6"/>
        </a:graphicData>
      </a:graphic>
    </xdr:graphicFrame>
    <xdr:clientData fLocksWithSheet="0"/>
  </xdr:oneCellAnchor>
  <xdr:oneCellAnchor>
    <xdr:from>
      <xdr:col>0</xdr:col>
      <xdr:colOff>0</xdr:colOff>
      <xdr:row>640</xdr:row>
      <xdr:rowOff>47625</xdr:rowOff>
    </xdr:from>
    <xdr:ext cx="6572250" cy="3838575"/>
    <xdr:graphicFrame>
      <xdr:nvGraphicFramePr>
        <xdr:cNvPr id="155" name="Chart 15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7"/>
        </a:graphicData>
      </a:graphic>
    </xdr:graphicFrame>
    <xdr:clientData fLocksWithSheet="0"/>
  </xdr:oneCellAnchor>
  <xdr:oneCellAnchor>
    <xdr:from>
      <xdr:col>5</xdr:col>
      <xdr:colOff>647700</xdr:colOff>
      <xdr:row>394</xdr:row>
      <xdr:rowOff>76200</xdr:rowOff>
    </xdr:from>
    <xdr:ext cx="6315075" cy="3495675"/>
    <xdr:graphicFrame>
      <xdr:nvGraphicFramePr>
        <xdr:cNvPr id="156" name="Chart 15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8"/>
        </a:graphicData>
      </a:graphic>
    </xdr:graphicFrame>
    <xdr:clientData fLocksWithSheet="0"/>
  </xdr:oneCellAnchor>
  <xdr:oneCellAnchor>
    <xdr:from>
      <xdr:col>5</xdr:col>
      <xdr:colOff>647700</xdr:colOff>
      <xdr:row>411</xdr:row>
      <xdr:rowOff>171450</xdr:rowOff>
    </xdr:from>
    <xdr:ext cx="6305550" cy="3533775"/>
    <xdr:graphicFrame>
      <xdr:nvGraphicFramePr>
        <xdr:cNvPr id="157" name="Chart 15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9"/>
        </a:graphicData>
      </a:graphic>
    </xdr:graphicFrame>
    <xdr:clientData fLocksWithSheet="0"/>
  </xdr:oneCellAnchor>
  <xdr:oneCellAnchor>
    <xdr:from>
      <xdr:col>5</xdr:col>
      <xdr:colOff>647700</xdr:colOff>
      <xdr:row>429</xdr:row>
      <xdr:rowOff>104775</xdr:rowOff>
    </xdr:from>
    <xdr:ext cx="6305550" cy="3600450"/>
    <xdr:graphicFrame>
      <xdr:nvGraphicFramePr>
        <xdr:cNvPr id="158" name="Chart 15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0"/>
        </a:graphicData>
      </a:graphic>
    </xdr:graphicFrame>
    <xdr:clientData fLocksWithSheet="0"/>
  </xdr:oneCellAnchor>
  <xdr:oneCellAnchor>
    <xdr:from>
      <xdr:col>5</xdr:col>
      <xdr:colOff>647700</xdr:colOff>
      <xdr:row>450</xdr:row>
      <xdr:rowOff>38100</xdr:rowOff>
    </xdr:from>
    <xdr:ext cx="6305550" cy="3609975"/>
    <xdr:graphicFrame>
      <xdr:nvGraphicFramePr>
        <xdr:cNvPr id="159" name="Chart 15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1"/>
        </a:graphicData>
      </a:graphic>
    </xdr:graphicFrame>
    <xdr:clientData fLocksWithSheet="0"/>
  </xdr:oneCellAnchor>
  <xdr:oneCellAnchor>
    <xdr:from>
      <xdr:col>5</xdr:col>
      <xdr:colOff>647700</xdr:colOff>
      <xdr:row>468</xdr:row>
      <xdr:rowOff>47625</xdr:rowOff>
    </xdr:from>
    <xdr:ext cx="6305550" cy="3609975"/>
    <xdr:graphicFrame>
      <xdr:nvGraphicFramePr>
        <xdr:cNvPr id="160" name="Chart 16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2"/>
        </a:graphicData>
      </a:graphic>
    </xdr:graphicFrame>
    <xdr:clientData fLocksWithSheet="0"/>
  </xdr:oneCellAnchor>
  <xdr:oneCellAnchor>
    <xdr:from>
      <xdr:col>5</xdr:col>
      <xdr:colOff>647700</xdr:colOff>
      <xdr:row>486</xdr:row>
      <xdr:rowOff>57150</xdr:rowOff>
    </xdr:from>
    <xdr:ext cx="6305550" cy="3609975"/>
    <xdr:graphicFrame>
      <xdr:nvGraphicFramePr>
        <xdr:cNvPr id="161" name="Chart 16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3"/>
        </a:graphicData>
      </a:graphic>
    </xdr:graphicFrame>
    <xdr:clientData fLocksWithSheet="0"/>
  </xdr:oneCellAnchor>
  <xdr:oneCellAnchor>
    <xdr:from>
      <xdr:col>5</xdr:col>
      <xdr:colOff>647700</xdr:colOff>
      <xdr:row>504</xdr:row>
      <xdr:rowOff>66675</xdr:rowOff>
    </xdr:from>
    <xdr:ext cx="6305550" cy="3609975"/>
    <xdr:graphicFrame>
      <xdr:nvGraphicFramePr>
        <xdr:cNvPr id="162" name="Chart 16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4"/>
        </a:graphicData>
      </a:graphic>
    </xdr:graphicFrame>
    <xdr:clientData fLocksWithSheet="0"/>
  </xdr:oneCellAnchor>
  <xdr:oneCellAnchor>
    <xdr:from>
      <xdr:col>5</xdr:col>
      <xdr:colOff>647700</xdr:colOff>
      <xdr:row>522</xdr:row>
      <xdr:rowOff>95250</xdr:rowOff>
    </xdr:from>
    <xdr:ext cx="6305550" cy="3609975"/>
    <xdr:graphicFrame>
      <xdr:nvGraphicFramePr>
        <xdr:cNvPr id="163" name="Chart 16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5"/>
        </a:graphicData>
      </a:graphic>
    </xdr:graphicFrame>
    <xdr:clientData fLocksWithSheet="0"/>
  </xdr:oneCellAnchor>
  <xdr:oneCellAnchor>
    <xdr:from>
      <xdr:col>5</xdr:col>
      <xdr:colOff>647700</xdr:colOff>
      <xdr:row>540</xdr:row>
      <xdr:rowOff>104775</xdr:rowOff>
    </xdr:from>
    <xdr:ext cx="6305550" cy="3609975"/>
    <xdr:graphicFrame>
      <xdr:nvGraphicFramePr>
        <xdr:cNvPr id="164" name="Chart 16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6"/>
        </a:graphicData>
      </a:graphic>
    </xdr:graphicFrame>
    <xdr:clientData fLocksWithSheet="0"/>
  </xdr:oneCellAnchor>
  <xdr:oneCellAnchor>
    <xdr:from>
      <xdr:col>5</xdr:col>
      <xdr:colOff>647700</xdr:colOff>
      <xdr:row>558</xdr:row>
      <xdr:rowOff>114300</xdr:rowOff>
    </xdr:from>
    <xdr:ext cx="6305550" cy="3609975"/>
    <xdr:graphicFrame>
      <xdr:nvGraphicFramePr>
        <xdr:cNvPr id="165" name="Chart 16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7"/>
        </a:graphicData>
      </a:graphic>
    </xdr:graphicFrame>
    <xdr:clientData fLocksWithSheet="0"/>
  </xdr:oneCellAnchor>
  <xdr:oneCellAnchor>
    <xdr:from>
      <xdr:col>5</xdr:col>
      <xdr:colOff>647700</xdr:colOff>
      <xdr:row>576</xdr:row>
      <xdr:rowOff>123825</xdr:rowOff>
    </xdr:from>
    <xdr:ext cx="6305550" cy="3609975"/>
    <xdr:graphicFrame>
      <xdr:nvGraphicFramePr>
        <xdr:cNvPr id="166" name="Chart 16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8"/>
        </a:graphicData>
      </a:graphic>
    </xdr:graphicFrame>
    <xdr:clientData fLocksWithSheet="0"/>
  </xdr:oneCellAnchor>
  <xdr:oneCellAnchor>
    <xdr:from>
      <xdr:col>5</xdr:col>
      <xdr:colOff>647700</xdr:colOff>
      <xdr:row>577</xdr:row>
      <xdr:rowOff>1600200</xdr:rowOff>
    </xdr:from>
    <xdr:ext cx="6305550" cy="3609975"/>
    <xdr:graphicFrame>
      <xdr:nvGraphicFramePr>
        <xdr:cNvPr id="167" name="Chart 16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9"/>
        </a:graphicData>
      </a:graphic>
    </xdr:graphicFrame>
    <xdr:clientData fLocksWithSheet="0"/>
  </xdr:oneCellAnchor>
  <xdr:oneCellAnchor>
    <xdr:from>
      <xdr:col>5</xdr:col>
      <xdr:colOff>657225</xdr:colOff>
      <xdr:row>640</xdr:row>
      <xdr:rowOff>47625</xdr:rowOff>
    </xdr:from>
    <xdr:ext cx="6305550" cy="3838575"/>
    <xdr:graphicFrame>
      <xdr:nvGraphicFramePr>
        <xdr:cNvPr id="168" name="Chart 16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0"/>
        </a:graphicData>
      </a:graphic>
    </xdr:graphicFrame>
    <xdr:clientData fLocksWithSheet="0"/>
  </xdr:oneCellAnchor>
  <xdr:oneCellAnchor>
    <xdr:from>
      <xdr:col>0</xdr:col>
      <xdr:colOff>0</xdr:colOff>
      <xdr:row>659</xdr:row>
      <xdr:rowOff>95250</xdr:rowOff>
    </xdr:from>
    <xdr:ext cx="6572250" cy="3838575"/>
    <xdr:graphicFrame>
      <xdr:nvGraphicFramePr>
        <xdr:cNvPr id="169" name="Chart 16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1"/>
        </a:graphicData>
      </a:graphic>
    </xdr:graphicFrame>
    <xdr:clientData fLocksWithSheet="0"/>
  </xdr:oneCellAnchor>
  <xdr:oneCellAnchor>
    <xdr:from>
      <xdr:col>5</xdr:col>
      <xdr:colOff>657225</xdr:colOff>
      <xdr:row>659</xdr:row>
      <xdr:rowOff>95250</xdr:rowOff>
    </xdr:from>
    <xdr:ext cx="6305550" cy="3838575"/>
    <xdr:graphicFrame>
      <xdr:nvGraphicFramePr>
        <xdr:cNvPr id="170" name="Chart 17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2"/>
        </a:graphicData>
      </a:graphic>
    </xdr:graphicFrame>
    <xdr:clientData fLocksWithSheet="0"/>
  </xdr:oneCellAnchor>
  <xdr:oneCellAnchor>
    <xdr:from>
      <xdr:col>0</xdr:col>
      <xdr:colOff>0</xdr:colOff>
      <xdr:row>678</xdr:row>
      <xdr:rowOff>142875</xdr:rowOff>
    </xdr:from>
    <xdr:ext cx="6572250" cy="3838575"/>
    <xdr:graphicFrame>
      <xdr:nvGraphicFramePr>
        <xdr:cNvPr id="171" name="Chart 17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3"/>
        </a:graphicData>
      </a:graphic>
    </xdr:graphicFrame>
    <xdr:clientData fLocksWithSheet="0"/>
  </xdr:oneCellAnchor>
  <xdr:oneCellAnchor>
    <xdr:from>
      <xdr:col>5</xdr:col>
      <xdr:colOff>657225</xdr:colOff>
      <xdr:row>678</xdr:row>
      <xdr:rowOff>142875</xdr:rowOff>
    </xdr:from>
    <xdr:ext cx="6305550" cy="3838575"/>
    <xdr:graphicFrame>
      <xdr:nvGraphicFramePr>
        <xdr:cNvPr id="172" name="Chart 17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4"/>
        </a:graphicData>
      </a:graphic>
    </xdr:graphicFrame>
    <xdr:clientData fLocksWithSheet="0"/>
  </xdr:oneCellAnchor>
  <xdr:oneCellAnchor>
    <xdr:from>
      <xdr:col>0</xdr:col>
      <xdr:colOff>0</xdr:colOff>
      <xdr:row>697</xdr:row>
      <xdr:rowOff>190500</xdr:rowOff>
    </xdr:from>
    <xdr:ext cx="6572250" cy="3838575"/>
    <xdr:graphicFrame>
      <xdr:nvGraphicFramePr>
        <xdr:cNvPr id="173" name="Chart 17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5"/>
        </a:graphicData>
      </a:graphic>
    </xdr:graphicFrame>
    <xdr:clientData fLocksWithSheet="0"/>
  </xdr:oneCellAnchor>
  <xdr:oneCellAnchor>
    <xdr:from>
      <xdr:col>5</xdr:col>
      <xdr:colOff>657225</xdr:colOff>
      <xdr:row>697</xdr:row>
      <xdr:rowOff>190500</xdr:rowOff>
    </xdr:from>
    <xdr:ext cx="6305550" cy="3838575"/>
    <xdr:graphicFrame>
      <xdr:nvGraphicFramePr>
        <xdr:cNvPr id="174" name="Chart 17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6"/>
        </a:graphicData>
      </a:graphic>
    </xdr:graphicFrame>
    <xdr:clientData fLocksWithSheet="0"/>
  </xdr:oneCellAnchor>
  <xdr:oneCellAnchor>
    <xdr:from>
      <xdr:col>0</xdr:col>
      <xdr:colOff>0</xdr:colOff>
      <xdr:row>718</xdr:row>
      <xdr:rowOff>0</xdr:rowOff>
    </xdr:from>
    <xdr:ext cx="6572250" cy="4076700"/>
    <xdr:graphicFrame>
      <xdr:nvGraphicFramePr>
        <xdr:cNvPr id="175" name="Chart 17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7"/>
        </a:graphicData>
      </a:graphic>
    </xdr:graphicFrame>
    <xdr:clientData fLocksWithSheet="0"/>
  </xdr:oneCellAnchor>
  <xdr:oneCellAnchor>
    <xdr:from>
      <xdr:col>5</xdr:col>
      <xdr:colOff>647700</xdr:colOff>
      <xdr:row>718</xdr:row>
      <xdr:rowOff>0</xdr:rowOff>
    </xdr:from>
    <xdr:ext cx="6315075" cy="4076700"/>
    <xdr:graphicFrame>
      <xdr:nvGraphicFramePr>
        <xdr:cNvPr id="176" name="Chart 17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8"/>
        </a:graphicData>
      </a:graphic>
    </xdr:graphicFrame>
    <xdr:clientData fLocksWithSheet="0"/>
  </xdr:oneCellAnchor>
  <xdr:oneCellAnchor>
    <xdr:from>
      <xdr:col>0</xdr:col>
      <xdr:colOff>0</xdr:colOff>
      <xdr:row>739</xdr:row>
      <xdr:rowOff>190500</xdr:rowOff>
    </xdr:from>
    <xdr:ext cx="6581775" cy="4152900"/>
    <xdr:graphicFrame>
      <xdr:nvGraphicFramePr>
        <xdr:cNvPr id="177" name="Chart 17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9"/>
        </a:graphicData>
      </a:graphic>
    </xdr:graphicFrame>
    <xdr:clientData fLocksWithSheet="0"/>
  </xdr:oneCellAnchor>
  <xdr:oneCellAnchor>
    <xdr:from>
      <xdr:col>5</xdr:col>
      <xdr:colOff>657225</xdr:colOff>
      <xdr:row>739</xdr:row>
      <xdr:rowOff>190500</xdr:rowOff>
    </xdr:from>
    <xdr:ext cx="6305550" cy="4152900"/>
    <xdr:graphicFrame>
      <xdr:nvGraphicFramePr>
        <xdr:cNvPr id="178" name="Chart 17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0"/>
        </a:graphicData>
      </a:graphic>
    </xdr:graphicFrame>
    <xdr:clientData fLocksWithSheet="0"/>
  </xdr:oneCellAnchor>
  <xdr:oneCellAnchor>
    <xdr:from>
      <xdr:col>0</xdr:col>
      <xdr:colOff>0</xdr:colOff>
      <xdr:row>760</xdr:row>
      <xdr:rowOff>152400</xdr:rowOff>
    </xdr:from>
    <xdr:ext cx="6581775" cy="4419600"/>
    <xdr:graphicFrame>
      <xdr:nvGraphicFramePr>
        <xdr:cNvPr id="179" name="Chart 17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1"/>
        </a:graphicData>
      </a:graphic>
    </xdr:graphicFrame>
    <xdr:clientData fLocksWithSheet="0"/>
  </xdr:oneCellAnchor>
  <xdr:oneCellAnchor>
    <xdr:from>
      <xdr:col>5</xdr:col>
      <xdr:colOff>657225</xdr:colOff>
      <xdr:row>760</xdr:row>
      <xdr:rowOff>152400</xdr:rowOff>
    </xdr:from>
    <xdr:ext cx="6315075" cy="4419600"/>
    <xdr:graphicFrame>
      <xdr:nvGraphicFramePr>
        <xdr:cNvPr id="180" name="Chart 18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2"/>
        </a:graphicData>
      </a:graphic>
    </xdr:graphicFrame>
    <xdr:clientData fLocksWithSheet="0"/>
  </xdr:oneCellAnchor>
  <xdr:oneCellAnchor>
    <xdr:from>
      <xdr:col>0</xdr:col>
      <xdr:colOff>0</xdr:colOff>
      <xdr:row>782</xdr:row>
      <xdr:rowOff>180975</xdr:rowOff>
    </xdr:from>
    <xdr:ext cx="6572250" cy="3943350"/>
    <xdr:graphicFrame>
      <xdr:nvGraphicFramePr>
        <xdr:cNvPr id="181" name="Chart 18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3"/>
        </a:graphicData>
      </a:graphic>
    </xdr:graphicFrame>
    <xdr:clientData fLocksWithSheet="0"/>
  </xdr:oneCellAnchor>
  <xdr:oneCellAnchor>
    <xdr:from>
      <xdr:col>0</xdr:col>
      <xdr:colOff>0</xdr:colOff>
      <xdr:row>803</xdr:row>
      <xdr:rowOff>190500</xdr:rowOff>
    </xdr:from>
    <xdr:ext cx="6581775" cy="4552950"/>
    <xdr:graphicFrame>
      <xdr:nvGraphicFramePr>
        <xdr:cNvPr id="182" name="Chart 18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4"/>
        </a:graphicData>
      </a:graphic>
    </xdr:graphicFrame>
    <xdr:clientData fLocksWithSheet="0"/>
  </xdr:oneCellAnchor>
  <xdr:oneCellAnchor>
    <xdr:from>
      <xdr:col>5</xdr:col>
      <xdr:colOff>647700</xdr:colOff>
      <xdr:row>803</xdr:row>
      <xdr:rowOff>190500</xdr:rowOff>
    </xdr:from>
    <xdr:ext cx="6315075" cy="4552950"/>
    <xdr:graphicFrame>
      <xdr:nvGraphicFramePr>
        <xdr:cNvPr id="183" name="Chart 18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5"/>
        </a:graphicData>
      </a:graphic>
    </xdr:graphicFrame>
    <xdr:clientData fLocksWithSheet="0"/>
  </xdr:oneCellAnchor>
  <xdr:oneCellAnchor>
    <xdr:from>
      <xdr:col>0</xdr:col>
      <xdr:colOff>0</xdr:colOff>
      <xdr:row>827</xdr:row>
      <xdr:rowOff>190500</xdr:rowOff>
    </xdr:from>
    <xdr:ext cx="6572250" cy="4171950"/>
    <xdr:graphicFrame>
      <xdr:nvGraphicFramePr>
        <xdr:cNvPr id="184" name="Chart 18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6"/>
        </a:graphicData>
      </a:graphic>
    </xdr:graphicFrame>
    <xdr:clientData fLocksWithSheet="0"/>
  </xdr:oneCellAnchor>
  <xdr:oneCellAnchor>
    <xdr:from>
      <xdr:col>5</xdr:col>
      <xdr:colOff>647700</xdr:colOff>
      <xdr:row>827</xdr:row>
      <xdr:rowOff>190500</xdr:rowOff>
    </xdr:from>
    <xdr:ext cx="6315075" cy="4171950"/>
    <xdr:graphicFrame>
      <xdr:nvGraphicFramePr>
        <xdr:cNvPr id="185" name="Chart 18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7"/>
        </a:graphicData>
      </a:graphic>
    </xdr:graphicFrame>
    <xdr:clientData fLocksWithSheet="0"/>
  </xdr:oneCellAnchor>
  <xdr:oneCellAnchor>
    <xdr:from>
      <xdr:col>0</xdr:col>
      <xdr:colOff>0</xdr:colOff>
      <xdr:row>848</xdr:row>
      <xdr:rowOff>171450</xdr:rowOff>
    </xdr:from>
    <xdr:ext cx="6572250" cy="4371975"/>
    <xdr:graphicFrame>
      <xdr:nvGraphicFramePr>
        <xdr:cNvPr id="186" name="Chart 18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8"/>
        </a:graphicData>
      </a:graphic>
    </xdr:graphicFrame>
    <xdr:clientData fLocksWithSheet="0"/>
  </xdr:oneCellAnchor>
  <xdr:oneCellAnchor>
    <xdr:from>
      <xdr:col>5</xdr:col>
      <xdr:colOff>657225</xdr:colOff>
      <xdr:row>848</xdr:row>
      <xdr:rowOff>171450</xdr:rowOff>
    </xdr:from>
    <xdr:ext cx="6305550" cy="4371975"/>
    <xdr:graphicFrame>
      <xdr:nvGraphicFramePr>
        <xdr:cNvPr id="187" name="Chart 18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9"/>
        </a:graphicData>
      </a:graphic>
    </xdr:graphicFrame>
    <xdr:clientData fLocksWithSheet="0"/>
  </xdr:oneCellAnchor>
  <xdr:oneCellAnchor>
    <xdr:from>
      <xdr:col>0</xdr:col>
      <xdr:colOff>0</xdr:colOff>
      <xdr:row>870</xdr:row>
      <xdr:rowOff>152400</xdr:rowOff>
    </xdr:from>
    <xdr:ext cx="6572250" cy="4419600"/>
    <xdr:graphicFrame>
      <xdr:nvGraphicFramePr>
        <xdr:cNvPr id="188" name="Chart 18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0"/>
        </a:graphicData>
      </a:graphic>
    </xdr:graphicFrame>
    <xdr:clientData fLocksWithSheet="0"/>
  </xdr:oneCellAnchor>
  <xdr:oneCellAnchor>
    <xdr:from>
      <xdr:col>5</xdr:col>
      <xdr:colOff>657225</xdr:colOff>
      <xdr:row>870</xdr:row>
      <xdr:rowOff>152400</xdr:rowOff>
    </xdr:from>
    <xdr:ext cx="6305550" cy="4419600"/>
    <xdr:graphicFrame>
      <xdr:nvGraphicFramePr>
        <xdr:cNvPr id="189" name="Chart 18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1"/>
        </a:graphicData>
      </a:graphic>
    </xdr:graphicFrame>
    <xdr:clientData fLocksWithSheet="0"/>
  </xdr:oneCellAnchor>
  <xdr:oneCellAnchor>
    <xdr:from>
      <xdr:col>0</xdr:col>
      <xdr:colOff>0</xdr:colOff>
      <xdr:row>894</xdr:row>
      <xdr:rowOff>0</xdr:rowOff>
    </xdr:from>
    <xdr:ext cx="6572250" cy="4419600"/>
    <xdr:graphicFrame>
      <xdr:nvGraphicFramePr>
        <xdr:cNvPr id="190" name="Chart 19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2"/>
        </a:graphicData>
      </a:graphic>
    </xdr:graphicFrame>
    <xdr:clientData fLocksWithSheet="0"/>
  </xdr:oneCellAnchor>
  <xdr:oneCellAnchor>
    <xdr:from>
      <xdr:col>5</xdr:col>
      <xdr:colOff>657225</xdr:colOff>
      <xdr:row>894</xdr:row>
      <xdr:rowOff>0</xdr:rowOff>
    </xdr:from>
    <xdr:ext cx="6315075" cy="4419600"/>
    <xdr:graphicFrame>
      <xdr:nvGraphicFramePr>
        <xdr:cNvPr id="191" name="Chart 19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3"/>
        </a:graphicData>
      </a:graphic>
    </xdr:graphicFrame>
    <xdr:clientData fLocksWithSheet="0"/>
  </xdr:oneCellAnchor>
  <xdr:oneCellAnchor>
    <xdr:from>
      <xdr:col>0</xdr:col>
      <xdr:colOff>0</xdr:colOff>
      <xdr:row>916</xdr:row>
      <xdr:rowOff>0</xdr:rowOff>
    </xdr:from>
    <xdr:ext cx="6572250" cy="4276725"/>
    <xdr:graphicFrame>
      <xdr:nvGraphicFramePr>
        <xdr:cNvPr id="192" name="Chart 19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4"/>
        </a:graphicData>
      </a:graphic>
    </xdr:graphicFrame>
    <xdr:clientData fLocksWithSheet="0"/>
  </xdr:oneCellAnchor>
  <xdr:oneCellAnchor>
    <xdr:from>
      <xdr:col>5</xdr:col>
      <xdr:colOff>657225</xdr:colOff>
      <xdr:row>916</xdr:row>
      <xdr:rowOff>0</xdr:rowOff>
    </xdr:from>
    <xdr:ext cx="6305550" cy="4276725"/>
    <xdr:graphicFrame>
      <xdr:nvGraphicFramePr>
        <xdr:cNvPr id="193" name="Chart 19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5"/>
        </a:graphicData>
      </a:graphic>
    </xdr:graphicFrame>
    <xdr:clientData fLocksWithSheet="0"/>
  </xdr:oneCellAnchor>
  <xdr:oneCellAnchor>
    <xdr:from>
      <xdr:col>0</xdr:col>
      <xdr:colOff>0</xdr:colOff>
      <xdr:row>937</xdr:row>
      <xdr:rowOff>76200</xdr:rowOff>
    </xdr:from>
    <xdr:ext cx="6572250" cy="4276725"/>
    <xdr:graphicFrame>
      <xdr:nvGraphicFramePr>
        <xdr:cNvPr id="194" name="Chart 19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6"/>
        </a:graphicData>
      </a:graphic>
    </xdr:graphicFrame>
    <xdr:clientData fLocksWithSheet="0"/>
  </xdr:oneCellAnchor>
  <xdr:oneCellAnchor>
    <xdr:from>
      <xdr:col>5</xdr:col>
      <xdr:colOff>657225</xdr:colOff>
      <xdr:row>937</xdr:row>
      <xdr:rowOff>76200</xdr:rowOff>
    </xdr:from>
    <xdr:ext cx="6305550" cy="4276725"/>
    <xdr:graphicFrame>
      <xdr:nvGraphicFramePr>
        <xdr:cNvPr id="195" name="Chart 19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7"/>
        </a:graphicData>
      </a:graphic>
    </xdr:graphicFrame>
    <xdr:clientData fLocksWithSheet="0"/>
  </xdr:oneCellAnchor>
  <xdr:oneCellAnchor>
    <xdr:from>
      <xdr:col>0</xdr:col>
      <xdr:colOff>0</xdr:colOff>
      <xdr:row>958</xdr:row>
      <xdr:rowOff>152400</xdr:rowOff>
    </xdr:from>
    <xdr:ext cx="6572250" cy="4419600"/>
    <xdr:graphicFrame>
      <xdr:nvGraphicFramePr>
        <xdr:cNvPr id="196" name="Chart 19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8"/>
        </a:graphicData>
      </a:graphic>
    </xdr:graphicFrame>
    <xdr:clientData fLocksWithSheet="0"/>
  </xdr:oneCellAnchor>
  <xdr:oneCellAnchor>
    <xdr:from>
      <xdr:col>0</xdr:col>
      <xdr:colOff>0</xdr:colOff>
      <xdr:row>981</xdr:row>
      <xdr:rowOff>190500</xdr:rowOff>
    </xdr:from>
    <xdr:ext cx="6572250" cy="4476750"/>
    <xdr:graphicFrame>
      <xdr:nvGraphicFramePr>
        <xdr:cNvPr id="197" name="Chart 19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9"/>
        </a:graphicData>
      </a:graphic>
    </xdr:graphicFrame>
    <xdr:clientData fLocksWithSheet="0"/>
  </xdr:oneCellAnchor>
  <xdr:oneCellAnchor>
    <xdr:from>
      <xdr:col>5</xdr:col>
      <xdr:colOff>647700</xdr:colOff>
      <xdr:row>981</xdr:row>
      <xdr:rowOff>190500</xdr:rowOff>
    </xdr:from>
    <xdr:ext cx="6305550" cy="4476750"/>
    <xdr:graphicFrame>
      <xdr:nvGraphicFramePr>
        <xdr:cNvPr id="198" name="Chart 19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0"/>
        </a:graphicData>
      </a:graphic>
    </xdr:graphicFrame>
    <xdr:clientData fLocksWithSheet="0"/>
  </xdr:oneCellAnchor>
  <xdr:oneCellAnchor>
    <xdr:from>
      <xdr:col>0</xdr:col>
      <xdr:colOff>0</xdr:colOff>
      <xdr:row>1004</xdr:row>
      <xdr:rowOff>66675</xdr:rowOff>
    </xdr:from>
    <xdr:ext cx="6572250" cy="4476750"/>
    <xdr:graphicFrame>
      <xdr:nvGraphicFramePr>
        <xdr:cNvPr id="199" name="Chart 19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1"/>
        </a:graphicData>
      </a:graphic>
    </xdr:graphicFrame>
    <xdr:clientData fLocksWithSheet="0"/>
  </xdr:oneCellAnchor>
  <xdr:oneCellAnchor>
    <xdr:from>
      <xdr:col>5</xdr:col>
      <xdr:colOff>647700</xdr:colOff>
      <xdr:row>1004</xdr:row>
      <xdr:rowOff>66675</xdr:rowOff>
    </xdr:from>
    <xdr:ext cx="6305550" cy="4476750"/>
    <xdr:graphicFrame>
      <xdr:nvGraphicFramePr>
        <xdr:cNvPr id="200" name="Chart 20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2"/>
        </a:graphicData>
      </a:graphic>
    </xdr:graphicFrame>
    <xdr:clientData fLocksWithSheet="0"/>
  </xdr:oneCellAnchor>
  <xdr:oneCellAnchor>
    <xdr:from>
      <xdr:col>0</xdr:col>
      <xdr:colOff>0</xdr:colOff>
      <xdr:row>1026</xdr:row>
      <xdr:rowOff>142875</xdr:rowOff>
    </xdr:from>
    <xdr:ext cx="6572250" cy="4476750"/>
    <xdr:graphicFrame>
      <xdr:nvGraphicFramePr>
        <xdr:cNvPr id="201" name="Chart 20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3"/>
        </a:graphicData>
      </a:graphic>
    </xdr:graphicFrame>
    <xdr:clientData fLocksWithSheet="0"/>
  </xdr:oneCellAnchor>
  <xdr:oneCellAnchor>
    <xdr:from>
      <xdr:col>5</xdr:col>
      <xdr:colOff>647700</xdr:colOff>
      <xdr:row>1026</xdr:row>
      <xdr:rowOff>142875</xdr:rowOff>
    </xdr:from>
    <xdr:ext cx="6305550" cy="4476750"/>
    <xdr:graphicFrame>
      <xdr:nvGraphicFramePr>
        <xdr:cNvPr id="202" name="Chart 20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4"/>
        </a:graphicData>
      </a:graphic>
    </xdr:graphicFrame>
    <xdr:clientData fLocksWithSheet="0"/>
  </xdr:oneCellAnchor>
  <xdr:oneCellAnchor>
    <xdr:from>
      <xdr:col>0</xdr:col>
      <xdr:colOff>0</xdr:colOff>
      <xdr:row>1049</xdr:row>
      <xdr:rowOff>19050</xdr:rowOff>
    </xdr:from>
    <xdr:ext cx="6572250" cy="4743450"/>
    <xdr:graphicFrame>
      <xdr:nvGraphicFramePr>
        <xdr:cNvPr id="203" name="Chart 20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5"/>
        </a:graphicData>
      </a:graphic>
    </xdr:graphicFrame>
    <xdr:clientData fLocksWithSheet="0"/>
  </xdr:oneCellAnchor>
  <xdr:oneCellAnchor>
    <xdr:from>
      <xdr:col>0</xdr:col>
      <xdr:colOff>0</xdr:colOff>
      <xdr:row>1073</xdr:row>
      <xdr:rowOff>180975</xdr:rowOff>
    </xdr:from>
    <xdr:ext cx="6581775" cy="4276725"/>
    <xdr:graphicFrame>
      <xdr:nvGraphicFramePr>
        <xdr:cNvPr id="204" name="Chart 20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6"/>
        </a:graphicData>
      </a:graphic>
    </xdr:graphicFrame>
    <xdr:clientData fLocksWithSheet="0"/>
  </xdr:oneCellAnchor>
  <xdr:oneCellAnchor>
    <xdr:from>
      <xdr:col>5</xdr:col>
      <xdr:colOff>647700</xdr:colOff>
      <xdr:row>1073</xdr:row>
      <xdr:rowOff>180975</xdr:rowOff>
    </xdr:from>
    <xdr:ext cx="6324600" cy="4276725"/>
    <xdr:graphicFrame>
      <xdr:nvGraphicFramePr>
        <xdr:cNvPr id="205" name="Chart 20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7"/>
        </a:graphicData>
      </a:graphic>
    </xdr:graphicFrame>
    <xdr:clientData fLocksWithSheet="0"/>
  </xdr:oneCellAnchor>
  <xdr:oneCellAnchor>
    <xdr:from>
      <xdr:col>0</xdr:col>
      <xdr:colOff>0</xdr:colOff>
      <xdr:row>1095</xdr:row>
      <xdr:rowOff>57150</xdr:rowOff>
    </xdr:from>
    <xdr:ext cx="6572250" cy="4572000"/>
    <xdr:graphicFrame>
      <xdr:nvGraphicFramePr>
        <xdr:cNvPr id="206" name="Chart 20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8"/>
        </a:graphicData>
      </a:graphic>
    </xdr:graphicFrame>
    <xdr:clientData fLocksWithSheet="0"/>
  </xdr:oneCellAnchor>
  <xdr:oneCellAnchor>
    <xdr:from>
      <xdr:col>5</xdr:col>
      <xdr:colOff>647700</xdr:colOff>
      <xdr:row>1095</xdr:row>
      <xdr:rowOff>57150</xdr:rowOff>
    </xdr:from>
    <xdr:ext cx="6324600" cy="4572000"/>
    <xdr:graphicFrame>
      <xdr:nvGraphicFramePr>
        <xdr:cNvPr id="207" name="Chart 20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9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25"/>
    <col customWidth="1" min="2" max="2" width="19.75"/>
    <col customWidth="1" min="3" max="3" width="12.63"/>
    <col customWidth="1" min="4" max="4" width="14.0"/>
    <col customWidth="1" min="5" max="5" width="11.88"/>
    <col customWidth="1" min="6" max="6" width="12.0"/>
    <col customWidth="1" min="7" max="7" width="14.63"/>
    <col customWidth="1" min="8" max="8" width="12.63"/>
    <col customWidth="1" min="9" max="9" width="20.25"/>
    <col customWidth="1" min="10" max="10" width="11.88"/>
    <col customWidth="1" min="11" max="11" width="12.38"/>
    <col customWidth="1" min="12" max="12" width="8.25"/>
    <col customWidth="1" min="13" max="13" width="9.63"/>
    <col customWidth="1" min="14" max="14" width="10.63"/>
    <col customWidth="1" min="15" max="15" width="16.75"/>
    <col customWidth="1" min="16" max="16" width="11.25"/>
    <col customWidth="1" min="17" max="17" width="9.0"/>
    <col customWidth="1" min="18" max="18" width="8.38"/>
    <col hidden="1" min="20" max="25" width="12.63"/>
  </cols>
  <sheetData>
    <row r="1" ht="54.0" customHeight="1">
      <c r="A1" s="1" t="s">
        <v>0</v>
      </c>
    </row>
    <row r="2" ht="13.5" customHeight="1">
      <c r="A2" s="2"/>
      <c r="B2" s="3" t="s">
        <v>1</v>
      </c>
      <c r="D2" s="4" t="s">
        <v>2</v>
      </c>
      <c r="E2" s="5"/>
      <c r="F2" s="5"/>
      <c r="G2" s="2"/>
      <c r="H2" s="6"/>
      <c r="I2" s="6"/>
      <c r="J2" s="6"/>
      <c r="K2" s="7"/>
      <c r="L2" s="7"/>
    </row>
    <row r="3" ht="15.75" customHeight="1">
      <c r="A3" s="2"/>
      <c r="B3" s="8" t="s">
        <v>3</v>
      </c>
      <c r="D3" s="9" t="s">
        <v>4</v>
      </c>
      <c r="E3" s="5"/>
      <c r="F3" s="5"/>
      <c r="G3" s="2"/>
      <c r="H3" s="6"/>
      <c r="I3" s="6"/>
      <c r="J3" s="6"/>
      <c r="K3" s="10"/>
      <c r="L3" s="10"/>
    </row>
    <row r="4">
      <c r="A4" s="2"/>
      <c r="B4" s="8" t="s">
        <v>5</v>
      </c>
      <c r="D4" s="11" t="s">
        <v>6</v>
      </c>
      <c r="E4" s="12"/>
      <c r="F4" s="2"/>
      <c r="G4" s="2"/>
      <c r="H4" s="2"/>
      <c r="I4" s="2"/>
      <c r="J4" s="2"/>
      <c r="K4" s="2"/>
    </row>
    <row r="5">
      <c r="A5" s="2"/>
      <c r="B5" s="3" t="s">
        <v>7</v>
      </c>
      <c r="D5" s="13">
        <v>179765.0</v>
      </c>
      <c r="E5" s="2"/>
      <c r="F5" s="2"/>
      <c r="G5" s="2"/>
      <c r="H5" s="2"/>
      <c r="I5" s="2"/>
      <c r="J5" s="2"/>
      <c r="K5" s="2"/>
    </row>
    <row r="6" ht="9.0" customHeight="1">
      <c r="A6" s="2"/>
      <c r="B6" s="14"/>
      <c r="C6" s="2"/>
      <c r="D6" s="2"/>
      <c r="E6" s="2"/>
      <c r="F6" s="2"/>
      <c r="G6" s="2"/>
      <c r="H6" s="2"/>
      <c r="I6" s="2"/>
      <c r="J6" s="2"/>
      <c r="K6" s="2"/>
    </row>
    <row r="7">
      <c r="A7" s="2"/>
      <c r="B7" s="15" t="s">
        <v>8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54.75" customHeight="1">
      <c r="A8" s="2"/>
      <c r="B8" s="19" t="s">
        <v>9</v>
      </c>
      <c r="C8" s="20" t="s">
        <v>10</v>
      </c>
      <c r="D8" s="20" t="s">
        <v>11</v>
      </c>
      <c r="E8" s="20" t="s">
        <v>12</v>
      </c>
      <c r="F8" s="20" t="s">
        <v>13</v>
      </c>
      <c r="G8" s="20" t="s">
        <v>14</v>
      </c>
      <c r="H8" s="20" t="s">
        <v>15</v>
      </c>
      <c r="I8" s="20" t="s">
        <v>16</v>
      </c>
      <c r="J8" s="20" t="s">
        <v>17</v>
      </c>
      <c r="K8" s="20" t="s">
        <v>18</v>
      </c>
      <c r="L8" s="20" t="s">
        <v>19</v>
      </c>
      <c r="M8" s="20" t="s">
        <v>20</v>
      </c>
      <c r="N8" s="20" t="s">
        <v>21</v>
      </c>
      <c r="O8" s="21" t="s">
        <v>22</v>
      </c>
      <c r="P8" s="18"/>
      <c r="Q8" s="18"/>
      <c r="R8" s="18"/>
      <c r="S8" s="18"/>
      <c r="T8" s="18"/>
      <c r="U8" s="18"/>
      <c r="V8" s="18"/>
      <c r="W8" s="18"/>
      <c r="X8" s="18"/>
      <c r="Y8" s="18"/>
    </row>
    <row r="9">
      <c r="A9" s="2"/>
      <c r="B9" s="22" t="s">
        <v>23</v>
      </c>
      <c r="C9" s="23">
        <v>830.0</v>
      </c>
      <c r="D9" s="23">
        <v>733.0</v>
      </c>
      <c r="E9" s="23">
        <v>518.0</v>
      </c>
      <c r="F9" s="23">
        <v>1056.0</v>
      </c>
      <c r="G9" s="23">
        <v>877.0</v>
      </c>
      <c r="H9" s="23">
        <v>2432.0</v>
      </c>
      <c r="I9" s="23">
        <v>2655.0</v>
      </c>
      <c r="J9" s="23">
        <v>1642.0</v>
      </c>
      <c r="K9" s="23">
        <v>1793.0</v>
      </c>
      <c r="L9" s="23">
        <v>1037.0</v>
      </c>
      <c r="M9" s="23">
        <v>2375.0</v>
      </c>
      <c r="N9" s="23">
        <v>1475.0</v>
      </c>
      <c r="O9" s="24">
        <f t="shared" ref="O9:O21" si="1">SUM(C9:N9)</f>
        <v>17423</v>
      </c>
      <c r="P9" s="18"/>
      <c r="Q9" s="18"/>
      <c r="R9" s="18"/>
      <c r="S9" s="18"/>
      <c r="T9" s="18"/>
      <c r="U9" s="18"/>
      <c r="V9" s="18"/>
      <c r="W9" s="18"/>
      <c r="X9" s="18"/>
      <c r="Y9" s="18"/>
    </row>
    <row r="10">
      <c r="A10" s="2"/>
      <c r="B10" s="22" t="s">
        <v>24</v>
      </c>
      <c r="C10" s="25">
        <v>403.0</v>
      </c>
      <c r="D10" s="25">
        <v>357.0</v>
      </c>
      <c r="E10" s="25">
        <v>236.0</v>
      </c>
      <c r="F10" s="25">
        <v>643.0</v>
      </c>
      <c r="G10" s="25">
        <v>392.0</v>
      </c>
      <c r="H10" s="25">
        <v>1263.0</v>
      </c>
      <c r="I10" s="25">
        <v>1292.0</v>
      </c>
      <c r="J10" s="25">
        <v>812.0</v>
      </c>
      <c r="K10" s="25">
        <v>830.0</v>
      </c>
      <c r="L10" s="25">
        <v>568.0</v>
      </c>
      <c r="M10" s="25">
        <v>1156.0</v>
      </c>
      <c r="N10" s="25">
        <v>694.0</v>
      </c>
      <c r="O10" s="24">
        <f t="shared" si="1"/>
        <v>8646</v>
      </c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>
      <c r="A11" s="2"/>
      <c r="B11" s="22" t="s">
        <v>25</v>
      </c>
      <c r="C11" s="23">
        <v>1383.0</v>
      </c>
      <c r="D11" s="23">
        <v>1437.0</v>
      </c>
      <c r="E11" s="23">
        <v>968.0</v>
      </c>
      <c r="F11" s="23">
        <v>2273.0</v>
      </c>
      <c r="G11" s="23">
        <v>1924.0</v>
      </c>
      <c r="H11" s="23">
        <v>4804.0</v>
      </c>
      <c r="I11" s="23">
        <v>5140.0</v>
      </c>
      <c r="J11" s="23">
        <v>3126.0</v>
      </c>
      <c r="K11" s="23">
        <v>3332.0</v>
      </c>
      <c r="L11" s="23">
        <v>2082.0</v>
      </c>
      <c r="M11" s="23">
        <v>4455.0</v>
      </c>
      <c r="N11" s="23">
        <v>2891.0</v>
      </c>
      <c r="O11" s="24">
        <f t="shared" si="1"/>
        <v>33815</v>
      </c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>
      <c r="A12" s="2"/>
      <c r="B12" s="22" t="s">
        <v>26</v>
      </c>
      <c r="C12" s="25">
        <v>217.0</v>
      </c>
      <c r="D12" s="25">
        <v>284.0</v>
      </c>
      <c r="E12" s="25">
        <v>166.0</v>
      </c>
      <c r="F12" s="25">
        <v>416.0</v>
      </c>
      <c r="G12" s="25">
        <v>349.0</v>
      </c>
      <c r="H12" s="25">
        <v>914.0</v>
      </c>
      <c r="I12" s="25">
        <v>904.0</v>
      </c>
      <c r="J12" s="25">
        <v>551.0</v>
      </c>
      <c r="K12" s="25">
        <v>581.0</v>
      </c>
      <c r="L12" s="25">
        <v>382.0</v>
      </c>
      <c r="M12" s="25">
        <v>826.0</v>
      </c>
      <c r="N12" s="25">
        <v>536.0</v>
      </c>
      <c r="O12" s="24">
        <f t="shared" si="1"/>
        <v>6126</v>
      </c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>
      <c r="A13" s="2"/>
      <c r="B13" s="22" t="s">
        <v>27</v>
      </c>
      <c r="C13" s="23">
        <v>618.0</v>
      </c>
      <c r="D13" s="23">
        <v>659.0</v>
      </c>
      <c r="E13" s="23">
        <v>403.0</v>
      </c>
      <c r="F13" s="23">
        <v>798.0</v>
      </c>
      <c r="G13" s="23">
        <v>745.0</v>
      </c>
      <c r="H13" s="23">
        <v>2072.0</v>
      </c>
      <c r="I13" s="23">
        <v>2091.0</v>
      </c>
      <c r="J13" s="23">
        <v>1281.0</v>
      </c>
      <c r="K13" s="23">
        <v>1324.0</v>
      </c>
      <c r="L13" s="23">
        <v>985.0</v>
      </c>
      <c r="M13" s="23">
        <v>1881.0</v>
      </c>
      <c r="N13" s="23">
        <v>1205.0</v>
      </c>
      <c r="O13" s="24">
        <f t="shared" si="1"/>
        <v>14062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>
      <c r="A14" s="2"/>
      <c r="B14" s="22" t="s">
        <v>28</v>
      </c>
      <c r="C14" s="25">
        <v>1058.0</v>
      </c>
      <c r="D14" s="25">
        <v>956.0</v>
      </c>
      <c r="E14" s="25">
        <v>631.0</v>
      </c>
      <c r="F14" s="25">
        <v>1347.0</v>
      </c>
      <c r="G14" s="25">
        <v>1015.0</v>
      </c>
      <c r="H14" s="25">
        <v>3425.0</v>
      </c>
      <c r="I14" s="25">
        <v>3708.0</v>
      </c>
      <c r="J14" s="25">
        <v>2116.0</v>
      </c>
      <c r="K14" s="25">
        <v>2310.0</v>
      </c>
      <c r="L14" s="25">
        <v>1650.0</v>
      </c>
      <c r="M14" s="25">
        <v>3062.0</v>
      </c>
      <c r="N14" s="25">
        <v>1848.0</v>
      </c>
      <c r="O14" s="24">
        <f t="shared" si="1"/>
        <v>23126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>
      <c r="A15" s="2"/>
      <c r="B15" s="22" t="s">
        <v>29</v>
      </c>
      <c r="C15" s="23">
        <v>425.0</v>
      </c>
      <c r="D15" s="23">
        <v>586.0</v>
      </c>
      <c r="E15" s="23">
        <v>354.0</v>
      </c>
      <c r="F15" s="23">
        <v>764.0</v>
      </c>
      <c r="G15" s="23">
        <v>603.0</v>
      </c>
      <c r="H15" s="23">
        <v>1780.0</v>
      </c>
      <c r="I15" s="23">
        <v>1857.0</v>
      </c>
      <c r="J15" s="23">
        <v>1002.0</v>
      </c>
      <c r="K15" s="23">
        <v>1173.0</v>
      </c>
      <c r="L15" s="23">
        <v>803.0</v>
      </c>
      <c r="M15" s="23">
        <v>1557.0</v>
      </c>
      <c r="N15" s="23">
        <v>923.0</v>
      </c>
      <c r="O15" s="24">
        <f t="shared" si="1"/>
        <v>11827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>
      <c r="A16" s="2"/>
      <c r="B16" s="22" t="s">
        <v>30</v>
      </c>
      <c r="C16" s="25">
        <v>413.0</v>
      </c>
      <c r="D16" s="25">
        <v>533.0</v>
      </c>
      <c r="E16" s="25">
        <v>362.0</v>
      </c>
      <c r="F16" s="25">
        <v>701.0</v>
      </c>
      <c r="G16" s="25">
        <v>611.0</v>
      </c>
      <c r="H16" s="25">
        <v>1878.0</v>
      </c>
      <c r="I16" s="25">
        <v>1819.0</v>
      </c>
      <c r="J16" s="25">
        <v>925.0</v>
      </c>
      <c r="K16" s="25">
        <v>1072.0</v>
      </c>
      <c r="L16" s="25">
        <v>871.0</v>
      </c>
      <c r="M16" s="25">
        <v>1413.0</v>
      </c>
      <c r="N16" s="25">
        <v>985.0</v>
      </c>
      <c r="O16" s="24">
        <f t="shared" si="1"/>
        <v>11583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>
      <c r="A17" s="2"/>
      <c r="B17" s="22" t="s">
        <v>31</v>
      </c>
      <c r="C17" s="23">
        <v>359.0</v>
      </c>
      <c r="D17" s="23">
        <v>453.0</v>
      </c>
      <c r="E17" s="23">
        <v>294.0</v>
      </c>
      <c r="F17" s="23">
        <v>618.0</v>
      </c>
      <c r="G17" s="23">
        <v>497.0</v>
      </c>
      <c r="H17" s="23">
        <v>1685.0</v>
      </c>
      <c r="I17" s="23">
        <v>1568.0</v>
      </c>
      <c r="J17" s="23">
        <v>902.0</v>
      </c>
      <c r="K17" s="23">
        <v>883.0</v>
      </c>
      <c r="L17" s="23">
        <v>803.0</v>
      </c>
      <c r="M17" s="23">
        <v>1302.0</v>
      </c>
      <c r="N17" s="23">
        <v>854.0</v>
      </c>
      <c r="O17" s="24">
        <f t="shared" si="1"/>
        <v>10218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>
      <c r="A18" s="2"/>
      <c r="B18" s="22" t="s">
        <v>32</v>
      </c>
      <c r="C18" s="25">
        <v>259.0</v>
      </c>
      <c r="D18" s="25">
        <v>385.0</v>
      </c>
      <c r="E18" s="25">
        <v>285.0</v>
      </c>
      <c r="F18" s="25">
        <v>494.0</v>
      </c>
      <c r="G18" s="25">
        <v>355.0</v>
      </c>
      <c r="H18" s="25">
        <v>1433.0</v>
      </c>
      <c r="I18" s="25">
        <v>1492.0</v>
      </c>
      <c r="J18" s="25">
        <v>793.0</v>
      </c>
      <c r="K18" s="25">
        <v>691.0</v>
      </c>
      <c r="L18" s="25">
        <v>757.0</v>
      </c>
      <c r="M18" s="25">
        <v>1121.0</v>
      </c>
      <c r="N18" s="25">
        <v>666.0</v>
      </c>
      <c r="O18" s="24">
        <f t="shared" si="1"/>
        <v>8731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>
      <c r="A19" s="2"/>
      <c r="B19" s="22" t="s">
        <v>33</v>
      </c>
      <c r="C19" s="23">
        <v>256.0</v>
      </c>
      <c r="D19" s="23">
        <v>329.0</v>
      </c>
      <c r="E19" s="23">
        <v>247.0</v>
      </c>
      <c r="F19" s="23">
        <v>447.0</v>
      </c>
      <c r="G19" s="23">
        <v>285.0</v>
      </c>
      <c r="H19" s="23">
        <v>1261.0</v>
      </c>
      <c r="I19" s="23">
        <v>1501.0</v>
      </c>
      <c r="J19" s="23">
        <v>774.0</v>
      </c>
      <c r="K19" s="23">
        <v>663.0</v>
      </c>
      <c r="L19" s="23">
        <v>730.0</v>
      </c>
      <c r="M19" s="23">
        <v>1033.0</v>
      </c>
      <c r="N19" s="23">
        <v>683.0</v>
      </c>
      <c r="O19" s="24">
        <f t="shared" si="1"/>
        <v>8209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>
      <c r="A20" s="2"/>
      <c r="B20" s="22" t="s">
        <v>34</v>
      </c>
      <c r="C20" s="25">
        <v>216.0</v>
      </c>
      <c r="D20" s="25">
        <v>335.0</v>
      </c>
      <c r="E20" s="25">
        <v>238.0</v>
      </c>
      <c r="F20" s="25">
        <v>482.0</v>
      </c>
      <c r="G20" s="25">
        <v>313.0</v>
      </c>
      <c r="H20" s="25">
        <v>1365.0</v>
      </c>
      <c r="I20" s="25">
        <v>1659.0</v>
      </c>
      <c r="J20" s="25">
        <v>777.0</v>
      </c>
      <c r="K20" s="25">
        <v>628.0</v>
      </c>
      <c r="L20" s="25">
        <v>850.0</v>
      </c>
      <c r="M20" s="25">
        <v>1033.0</v>
      </c>
      <c r="N20" s="25">
        <v>640.0</v>
      </c>
      <c r="O20" s="24">
        <f t="shared" si="1"/>
        <v>8536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>
      <c r="A21" s="2"/>
      <c r="B21" s="22" t="s">
        <v>35</v>
      </c>
      <c r="C21" s="23">
        <v>326.0</v>
      </c>
      <c r="D21" s="23">
        <v>647.0</v>
      </c>
      <c r="E21" s="23">
        <v>488.0</v>
      </c>
      <c r="F21" s="23">
        <v>995.0</v>
      </c>
      <c r="G21" s="23">
        <v>504.0</v>
      </c>
      <c r="H21" s="23">
        <v>3147.0</v>
      </c>
      <c r="I21" s="23">
        <v>3476.0</v>
      </c>
      <c r="J21" s="23">
        <v>1624.0</v>
      </c>
      <c r="K21" s="23">
        <v>1159.0</v>
      </c>
      <c r="L21" s="23">
        <v>1885.0</v>
      </c>
      <c r="M21" s="23">
        <v>2114.0</v>
      </c>
      <c r="N21" s="23">
        <v>1098.0</v>
      </c>
      <c r="O21" s="24">
        <f t="shared" si="1"/>
        <v>17463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>
      <c r="A22" s="2"/>
      <c r="B22" s="26" t="s">
        <v>22</v>
      </c>
      <c r="C22" s="24">
        <f t="shared" ref="C22:O22" si="2">SUM(C9:C21)</f>
        <v>6763</v>
      </c>
      <c r="D22" s="24">
        <f t="shared" si="2"/>
        <v>7694</v>
      </c>
      <c r="E22" s="24">
        <f t="shared" si="2"/>
        <v>5190</v>
      </c>
      <c r="F22" s="24">
        <f t="shared" si="2"/>
        <v>11034</v>
      </c>
      <c r="G22" s="24">
        <f t="shared" si="2"/>
        <v>8470</v>
      </c>
      <c r="H22" s="24">
        <f t="shared" si="2"/>
        <v>27459</v>
      </c>
      <c r="I22" s="24">
        <f t="shared" si="2"/>
        <v>29162</v>
      </c>
      <c r="J22" s="24">
        <f t="shared" si="2"/>
        <v>16325</v>
      </c>
      <c r="K22" s="24">
        <f t="shared" si="2"/>
        <v>16439</v>
      </c>
      <c r="L22" s="24">
        <f t="shared" si="2"/>
        <v>13403</v>
      </c>
      <c r="M22" s="24">
        <f t="shared" si="2"/>
        <v>23328</v>
      </c>
      <c r="N22" s="24">
        <f t="shared" si="2"/>
        <v>14498</v>
      </c>
      <c r="O22" s="27">
        <f t="shared" si="2"/>
        <v>179765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33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25.5" customHeight="1">
      <c r="A25" s="2"/>
      <c r="B25" s="15" t="s">
        <v>36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2"/>
      <c r="B26" s="19" t="s">
        <v>9</v>
      </c>
      <c r="C26" s="20" t="s">
        <v>10</v>
      </c>
      <c r="D26" s="20" t="s">
        <v>11</v>
      </c>
      <c r="E26" s="20" t="s">
        <v>12</v>
      </c>
      <c r="F26" s="20" t="s">
        <v>13</v>
      </c>
      <c r="G26" s="20" t="s">
        <v>14</v>
      </c>
      <c r="H26" s="20" t="s">
        <v>15</v>
      </c>
      <c r="I26" s="20" t="s">
        <v>16</v>
      </c>
      <c r="J26" s="20" t="s">
        <v>17</v>
      </c>
      <c r="K26" s="20" t="s">
        <v>18</v>
      </c>
      <c r="L26" s="20" t="s">
        <v>19</v>
      </c>
      <c r="M26" s="20" t="s">
        <v>20</v>
      </c>
      <c r="N26" s="20" t="s">
        <v>21</v>
      </c>
      <c r="O26" s="21" t="s">
        <v>22</v>
      </c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>
      <c r="A27" s="2"/>
      <c r="B27" s="22" t="s">
        <v>23</v>
      </c>
      <c r="C27" s="28">
        <v>31.44</v>
      </c>
      <c r="D27" s="28">
        <v>16.62</v>
      </c>
      <c r="E27" s="28">
        <v>7.58</v>
      </c>
      <c r="F27" s="28">
        <v>11.92</v>
      </c>
      <c r="G27" s="28">
        <v>34.66</v>
      </c>
      <c r="H27" s="28">
        <v>26.09</v>
      </c>
      <c r="I27" s="28">
        <v>85.1</v>
      </c>
      <c r="J27" s="28">
        <v>184.49</v>
      </c>
      <c r="K27" s="28">
        <v>106.73</v>
      </c>
      <c r="L27" s="28">
        <v>61.73</v>
      </c>
      <c r="M27" s="28">
        <v>184.11</v>
      </c>
      <c r="N27" s="28">
        <v>116.14</v>
      </c>
      <c r="O27" s="24">
        <f t="shared" ref="O27:O39" si="3">MEDIAN(C27:N27)</f>
        <v>48.195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2"/>
      <c r="B28" s="22" t="s">
        <v>24</v>
      </c>
      <c r="C28" s="28">
        <v>15.27</v>
      </c>
      <c r="D28" s="28">
        <v>8.1</v>
      </c>
      <c r="E28" s="28">
        <v>3.46</v>
      </c>
      <c r="F28" s="28">
        <v>7.26</v>
      </c>
      <c r="G28" s="28">
        <v>15.49</v>
      </c>
      <c r="H28" s="28">
        <v>13.55</v>
      </c>
      <c r="I28" s="28">
        <v>41.41</v>
      </c>
      <c r="J28" s="28">
        <v>91.24</v>
      </c>
      <c r="K28" s="28">
        <v>49.4</v>
      </c>
      <c r="L28" s="28">
        <v>33.81</v>
      </c>
      <c r="M28" s="28">
        <v>89.61</v>
      </c>
      <c r="N28" s="28">
        <v>54.65</v>
      </c>
      <c r="O28" s="24">
        <f t="shared" si="3"/>
        <v>24.65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>
      <c r="A29" s="2"/>
      <c r="B29" s="22" t="s">
        <v>25</v>
      </c>
      <c r="C29" s="28">
        <v>52.39</v>
      </c>
      <c r="D29" s="28">
        <v>32.59</v>
      </c>
      <c r="E29" s="28">
        <v>14.17</v>
      </c>
      <c r="F29" s="28">
        <v>25.65</v>
      </c>
      <c r="G29" s="28">
        <v>76.05</v>
      </c>
      <c r="H29" s="28">
        <v>51.55</v>
      </c>
      <c r="I29" s="28">
        <v>164.74</v>
      </c>
      <c r="J29" s="28">
        <v>351.24</v>
      </c>
      <c r="K29" s="28">
        <v>198.33</v>
      </c>
      <c r="L29" s="28">
        <v>123.93</v>
      </c>
      <c r="M29" s="28">
        <v>345.35</v>
      </c>
      <c r="N29" s="28">
        <v>227.64</v>
      </c>
      <c r="O29" s="24">
        <f t="shared" si="3"/>
        <v>99.99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>
      <c r="A30" s="2"/>
      <c r="B30" s="22" t="s">
        <v>26</v>
      </c>
      <c r="C30" s="28">
        <v>8.22</v>
      </c>
      <c r="D30" s="28">
        <v>6.44</v>
      </c>
      <c r="E30" s="28">
        <v>2.43</v>
      </c>
      <c r="F30" s="28">
        <v>4.7</v>
      </c>
      <c r="G30" s="28">
        <v>13.79</v>
      </c>
      <c r="H30" s="28">
        <v>9.81</v>
      </c>
      <c r="I30" s="28">
        <v>28.97</v>
      </c>
      <c r="J30" s="28">
        <v>61.91</v>
      </c>
      <c r="K30" s="28">
        <v>34.58</v>
      </c>
      <c r="L30" s="28">
        <v>22.74</v>
      </c>
      <c r="M30" s="28">
        <v>64.03</v>
      </c>
      <c r="N30" s="28">
        <v>42.2</v>
      </c>
      <c r="O30" s="24">
        <f t="shared" si="3"/>
        <v>18.265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>
      <c r="A31" s="2"/>
      <c r="B31" s="22" t="s">
        <v>27</v>
      </c>
      <c r="C31" s="28">
        <v>23.41</v>
      </c>
      <c r="D31" s="28">
        <v>14.94</v>
      </c>
      <c r="E31" s="28">
        <v>5.9</v>
      </c>
      <c r="F31" s="28">
        <v>9.01</v>
      </c>
      <c r="G31" s="28">
        <v>29.45</v>
      </c>
      <c r="H31" s="28">
        <v>22.23</v>
      </c>
      <c r="I31" s="28">
        <v>67.02</v>
      </c>
      <c r="J31" s="28">
        <v>143.93</v>
      </c>
      <c r="K31" s="28">
        <v>78.81</v>
      </c>
      <c r="L31" s="28">
        <v>58.63</v>
      </c>
      <c r="M31" s="28">
        <v>145.81</v>
      </c>
      <c r="N31" s="28">
        <v>94.88</v>
      </c>
      <c r="O31" s="24">
        <f t="shared" si="3"/>
        <v>44.04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>
      <c r="A32" s="2"/>
      <c r="B32" s="22" t="s">
        <v>28</v>
      </c>
      <c r="C32" s="28">
        <v>40.08</v>
      </c>
      <c r="D32" s="28">
        <v>21.68</v>
      </c>
      <c r="E32" s="28">
        <v>9.24</v>
      </c>
      <c r="F32" s="28">
        <v>15.2</v>
      </c>
      <c r="G32" s="28">
        <v>40.12</v>
      </c>
      <c r="H32" s="28">
        <v>36.75</v>
      </c>
      <c r="I32" s="28">
        <v>118.85</v>
      </c>
      <c r="J32" s="28">
        <v>237.75</v>
      </c>
      <c r="K32" s="28">
        <v>137.5</v>
      </c>
      <c r="L32" s="28">
        <v>98.21</v>
      </c>
      <c r="M32" s="28">
        <v>237.36</v>
      </c>
      <c r="N32" s="28">
        <v>145.51</v>
      </c>
      <c r="O32" s="24">
        <f t="shared" si="3"/>
        <v>69.165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>
      <c r="A33" s="2"/>
      <c r="B33" s="22" t="s">
        <v>29</v>
      </c>
      <c r="C33" s="28">
        <v>16.1</v>
      </c>
      <c r="D33" s="28">
        <v>13.29</v>
      </c>
      <c r="E33" s="28">
        <v>5.18</v>
      </c>
      <c r="F33" s="28">
        <v>8.62</v>
      </c>
      <c r="G33" s="28">
        <v>23.83</v>
      </c>
      <c r="H33" s="28">
        <v>19.1</v>
      </c>
      <c r="I33" s="28">
        <v>59.52</v>
      </c>
      <c r="J33" s="28">
        <v>112.58</v>
      </c>
      <c r="K33" s="28">
        <v>69.82</v>
      </c>
      <c r="L33" s="28">
        <v>47.8</v>
      </c>
      <c r="M33" s="28">
        <v>120.7</v>
      </c>
      <c r="N33" s="28">
        <v>72.68</v>
      </c>
      <c r="O33" s="24">
        <f t="shared" si="3"/>
        <v>35.815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>
      <c r="A34" s="2"/>
      <c r="B34" s="22" t="s">
        <v>30</v>
      </c>
      <c r="C34" s="28">
        <v>15.64</v>
      </c>
      <c r="D34" s="28">
        <v>12.09</v>
      </c>
      <c r="E34" s="28">
        <v>5.3</v>
      </c>
      <c r="F34" s="28">
        <v>7.91</v>
      </c>
      <c r="G34" s="28">
        <v>24.15</v>
      </c>
      <c r="H34" s="28">
        <v>20.15</v>
      </c>
      <c r="I34" s="28">
        <v>58.3</v>
      </c>
      <c r="J34" s="28">
        <v>103.93</v>
      </c>
      <c r="K34" s="28">
        <v>63.81</v>
      </c>
      <c r="L34" s="28">
        <v>51.85</v>
      </c>
      <c r="M34" s="28">
        <v>109.53</v>
      </c>
      <c r="N34" s="28">
        <v>77.56</v>
      </c>
      <c r="O34" s="24">
        <f t="shared" si="3"/>
        <v>38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>
      <c r="A35" s="2"/>
      <c r="B35" s="22" t="s">
        <v>31</v>
      </c>
      <c r="C35" s="28">
        <v>13.6</v>
      </c>
      <c r="D35" s="28">
        <v>10.27</v>
      </c>
      <c r="E35" s="28">
        <v>4.3</v>
      </c>
      <c r="F35" s="28">
        <v>6.98</v>
      </c>
      <c r="G35" s="28">
        <v>19.64</v>
      </c>
      <c r="H35" s="28">
        <v>18.08</v>
      </c>
      <c r="I35" s="28">
        <v>50.26</v>
      </c>
      <c r="J35" s="28">
        <v>101.35</v>
      </c>
      <c r="K35" s="28">
        <v>52.56</v>
      </c>
      <c r="L35" s="28">
        <v>47.8</v>
      </c>
      <c r="M35" s="28">
        <v>100.93</v>
      </c>
      <c r="N35" s="28">
        <v>67.24</v>
      </c>
      <c r="O35" s="24">
        <f t="shared" si="3"/>
        <v>33.72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>
      <c r="A36" s="2"/>
      <c r="B36" s="22" t="s">
        <v>32</v>
      </c>
      <c r="C36" s="28">
        <v>9.81</v>
      </c>
      <c r="D36" s="28">
        <v>8.73</v>
      </c>
      <c r="E36" s="28">
        <v>4.17</v>
      </c>
      <c r="F36" s="28">
        <v>5.58</v>
      </c>
      <c r="G36" s="28">
        <v>14.03</v>
      </c>
      <c r="H36" s="28">
        <v>15.38</v>
      </c>
      <c r="I36" s="28">
        <v>47.82</v>
      </c>
      <c r="J36" s="28">
        <v>89.1</v>
      </c>
      <c r="K36" s="28">
        <v>41.13</v>
      </c>
      <c r="L36" s="28">
        <v>45.06</v>
      </c>
      <c r="M36" s="28">
        <v>86.9</v>
      </c>
      <c r="N36" s="28">
        <v>52.44</v>
      </c>
      <c r="O36" s="24">
        <f t="shared" si="3"/>
        <v>28.255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2"/>
      <c r="B37" s="22" t="s">
        <v>33</v>
      </c>
      <c r="C37" s="28">
        <v>9.7</v>
      </c>
      <c r="D37" s="28">
        <v>7.46</v>
      </c>
      <c r="E37" s="28">
        <v>3.62</v>
      </c>
      <c r="F37" s="28">
        <v>5.05</v>
      </c>
      <c r="G37" s="28">
        <v>11.26</v>
      </c>
      <c r="H37" s="28">
        <v>13.53</v>
      </c>
      <c r="I37" s="28">
        <v>48.11</v>
      </c>
      <c r="J37" s="28">
        <v>86.97</v>
      </c>
      <c r="K37" s="28">
        <v>39.46</v>
      </c>
      <c r="L37" s="28">
        <v>43.45</v>
      </c>
      <c r="M37" s="28">
        <v>80.08</v>
      </c>
      <c r="N37" s="28">
        <v>53.78</v>
      </c>
      <c r="O37" s="24">
        <f t="shared" si="3"/>
        <v>26.495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2"/>
      <c r="B38" s="22" t="s">
        <v>34</v>
      </c>
      <c r="C38" s="28">
        <v>8.18</v>
      </c>
      <c r="D38" s="28">
        <v>7.6</v>
      </c>
      <c r="E38" s="28">
        <v>3.48</v>
      </c>
      <c r="F38" s="28">
        <v>5.44</v>
      </c>
      <c r="G38" s="28">
        <v>12.37</v>
      </c>
      <c r="H38" s="28">
        <v>14.65</v>
      </c>
      <c r="I38" s="28">
        <v>53.17</v>
      </c>
      <c r="J38" s="28">
        <v>87.3</v>
      </c>
      <c r="K38" s="28">
        <v>37.38</v>
      </c>
      <c r="L38" s="28">
        <v>50.6</v>
      </c>
      <c r="M38" s="28">
        <v>80.08</v>
      </c>
      <c r="N38" s="28">
        <v>50.39</v>
      </c>
      <c r="O38" s="24">
        <f t="shared" si="3"/>
        <v>26.015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>
      <c r="A39" s="2"/>
      <c r="B39" s="22" t="s">
        <v>35</v>
      </c>
      <c r="C39" s="28">
        <v>12.35</v>
      </c>
      <c r="D39" s="28">
        <v>14.67</v>
      </c>
      <c r="E39" s="28">
        <v>7.14</v>
      </c>
      <c r="F39" s="28">
        <v>11.23</v>
      </c>
      <c r="G39" s="28">
        <v>19.92</v>
      </c>
      <c r="H39" s="28">
        <v>33.77</v>
      </c>
      <c r="I39" s="28">
        <v>111.41</v>
      </c>
      <c r="J39" s="28">
        <v>182.47</v>
      </c>
      <c r="K39" s="28">
        <v>68.99</v>
      </c>
      <c r="L39" s="28">
        <v>112.2</v>
      </c>
      <c r="M39" s="28">
        <v>163.88</v>
      </c>
      <c r="N39" s="28">
        <v>86.46</v>
      </c>
      <c r="O39" s="24">
        <f t="shared" si="3"/>
        <v>51.38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2"/>
      <c r="B40" s="26" t="s">
        <v>22</v>
      </c>
      <c r="C40" s="24">
        <f t="shared" ref="C40:N40" si="4">MEDIAN(C27:C39)</f>
        <v>15.27</v>
      </c>
      <c r="D40" s="24">
        <f t="shared" si="4"/>
        <v>12.09</v>
      </c>
      <c r="E40" s="24">
        <f t="shared" si="4"/>
        <v>5.18</v>
      </c>
      <c r="F40" s="24">
        <f t="shared" si="4"/>
        <v>7.91</v>
      </c>
      <c r="G40" s="24">
        <f t="shared" si="4"/>
        <v>19.92</v>
      </c>
      <c r="H40" s="24">
        <f t="shared" si="4"/>
        <v>19.1</v>
      </c>
      <c r="I40" s="24">
        <f t="shared" si="4"/>
        <v>58.3</v>
      </c>
      <c r="J40" s="24">
        <f t="shared" si="4"/>
        <v>103.93</v>
      </c>
      <c r="K40" s="24">
        <f t="shared" si="4"/>
        <v>63.81</v>
      </c>
      <c r="L40" s="24">
        <f t="shared" si="4"/>
        <v>50.6</v>
      </c>
      <c r="M40" s="24">
        <f t="shared" si="4"/>
        <v>109.53</v>
      </c>
      <c r="N40" s="24">
        <f t="shared" si="4"/>
        <v>72.68</v>
      </c>
      <c r="O40" s="27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>
      <c r="A41" s="2"/>
      <c r="B41" s="2"/>
      <c r="C41" s="2"/>
      <c r="D41" s="2"/>
      <c r="E41" s="2"/>
      <c r="F41" s="2"/>
      <c r="G41" s="2"/>
      <c r="H41" s="18"/>
      <c r="I41" s="18"/>
      <c r="J41" s="18"/>
      <c r="K41" s="2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2.5" customHeight="1">
      <c r="A42" s="2"/>
      <c r="B42" s="29" t="s">
        <v>37</v>
      </c>
      <c r="C42" s="16"/>
      <c r="D42" s="16"/>
      <c r="E42" s="16"/>
      <c r="F42" s="16"/>
      <c r="G42" s="17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>
      <c r="A43" s="2"/>
      <c r="B43" s="19" t="s">
        <v>38</v>
      </c>
      <c r="C43" s="20" t="s">
        <v>39</v>
      </c>
      <c r="D43" s="20" t="s">
        <v>40</v>
      </c>
      <c r="E43" s="20" t="s">
        <v>41</v>
      </c>
      <c r="F43" s="20" t="s">
        <v>42</v>
      </c>
      <c r="G43" s="21" t="s">
        <v>22</v>
      </c>
      <c r="H43" s="18"/>
      <c r="R43" s="30"/>
      <c r="S43" s="30"/>
      <c r="T43" s="18"/>
      <c r="U43" s="18"/>
      <c r="V43" s="18"/>
      <c r="W43" s="18"/>
      <c r="X43" s="18"/>
      <c r="Y43" s="18"/>
    </row>
    <row r="44">
      <c r="A44" s="2"/>
      <c r="B44" s="31" t="s">
        <v>10</v>
      </c>
      <c r="C44" s="28">
        <v>3896.0</v>
      </c>
      <c r="D44" s="28">
        <v>404.0</v>
      </c>
      <c r="E44" s="28">
        <v>13.0</v>
      </c>
      <c r="F44" s="28">
        <v>2447.0</v>
      </c>
      <c r="G44" s="24">
        <f t="shared" ref="G44:G55" si="5">SUM(C44:F44)</f>
        <v>6760</v>
      </c>
      <c r="H44" s="18"/>
      <c r="R44" s="30"/>
      <c r="S44" s="30"/>
      <c r="T44" s="18"/>
      <c r="U44" s="18"/>
      <c r="V44" s="18"/>
      <c r="W44" s="18"/>
      <c r="X44" s="18"/>
      <c r="Y44" s="18"/>
    </row>
    <row r="45">
      <c r="A45" s="2"/>
      <c r="B45" s="31" t="s">
        <v>11</v>
      </c>
      <c r="C45" s="28">
        <v>5243.0</v>
      </c>
      <c r="D45" s="28">
        <v>376.0</v>
      </c>
      <c r="E45" s="28">
        <v>36.0</v>
      </c>
      <c r="F45" s="28">
        <v>2030.0</v>
      </c>
      <c r="G45" s="24">
        <f t="shared" si="5"/>
        <v>7685</v>
      </c>
      <c r="H45" s="18"/>
      <c r="R45" s="30"/>
      <c r="S45" s="30"/>
      <c r="T45" s="18"/>
      <c r="U45" s="18"/>
      <c r="V45" s="18"/>
      <c r="W45" s="18"/>
      <c r="X45" s="18"/>
      <c r="Y45" s="18"/>
    </row>
    <row r="46">
      <c r="A46" s="2"/>
      <c r="B46" s="31" t="s">
        <v>12</v>
      </c>
      <c r="C46" s="28">
        <v>5243.0</v>
      </c>
      <c r="D46" s="28">
        <v>376.0</v>
      </c>
      <c r="E46" s="28">
        <v>36.0</v>
      </c>
      <c r="F46" s="28">
        <v>2030.0</v>
      </c>
      <c r="G46" s="24">
        <f t="shared" si="5"/>
        <v>7685</v>
      </c>
      <c r="H46" s="18"/>
      <c r="R46" s="30"/>
      <c r="S46" s="30"/>
      <c r="T46" s="18"/>
      <c r="U46" s="18"/>
      <c r="V46" s="18"/>
      <c r="W46" s="18"/>
      <c r="X46" s="18"/>
      <c r="Y46" s="18"/>
    </row>
    <row r="47">
      <c r="A47" s="2"/>
      <c r="B47" s="31" t="s">
        <v>13</v>
      </c>
      <c r="C47" s="28">
        <v>3812.0</v>
      </c>
      <c r="D47" s="28">
        <v>228.0</v>
      </c>
      <c r="E47" s="28">
        <v>13.0</v>
      </c>
      <c r="F47" s="28">
        <v>1127.0</v>
      </c>
      <c r="G47" s="24">
        <f t="shared" si="5"/>
        <v>5180</v>
      </c>
      <c r="H47" s="18"/>
      <c r="R47" s="30"/>
      <c r="S47" s="30"/>
      <c r="T47" s="18"/>
      <c r="U47" s="18"/>
      <c r="V47" s="18"/>
      <c r="W47" s="18"/>
      <c r="X47" s="18"/>
      <c r="Y47" s="18"/>
    </row>
    <row r="48">
      <c r="A48" s="2"/>
      <c r="B48" s="31" t="s">
        <v>14</v>
      </c>
      <c r="C48" s="28">
        <v>6913.0</v>
      </c>
      <c r="D48" s="28">
        <v>717.0</v>
      </c>
      <c r="E48" s="28">
        <v>21.0</v>
      </c>
      <c r="F48" s="28">
        <v>3379.0</v>
      </c>
      <c r="G48" s="24">
        <f t="shared" si="5"/>
        <v>11030</v>
      </c>
      <c r="H48" s="18"/>
      <c r="R48" s="30"/>
      <c r="S48" s="30"/>
      <c r="T48" s="18"/>
      <c r="U48" s="18"/>
      <c r="V48" s="18"/>
      <c r="W48" s="18"/>
      <c r="X48" s="18"/>
      <c r="Y48" s="18"/>
    </row>
    <row r="49">
      <c r="A49" s="2"/>
      <c r="B49" s="31" t="s">
        <v>15</v>
      </c>
      <c r="C49" s="28">
        <v>5383.0</v>
      </c>
      <c r="D49" s="28">
        <v>600.0</v>
      </c>
      <c r="E49" s="28">
        <v>15.0</v>
      </c>
      <c r="F49" s="28">
        <v>2467.0</v>
      </c>
      <c r="G49" s="24">
        <f t="shared" si="5"/>
        <v>8465</v>
      </c>
      <c r="H49" s="18"/>
      <c r="R49" s="30"/>
      <c r="S49" s="30"/>
      <c r="T49" s="18"/>
      <c r="U49" s="18"/>
      <c r="V49" s="18"/>
      <c r="W49" s="18"/>
      <c r="X49" s="18"/>
      <c r="Y49" s="18"/>
    </row>
    <row r="50">
      <c r="A50" s="2"/>
      <c r="B50" s="31" t="s">
        <v>16</v>
      </c>
      <c r="C50" s="28">
        <v>10201.0</v>
      </c>
      <c r="D50" s="28">
        <v>700.0</v>
      </c>
      <c r="E50" s="28">
        <v>54.0</v>
      </c>
      <c r="F50" s="28">
        <v>2441.0</v>
      </c>
      <c r="G50" s="24">
        <f t="shared" si="5"/>
        <v>13396</v>
      </c>
      <c r="H50" s="18"/>
      <c r="R50" s="30"/>
      <c r="S50" s="30"/>
      <c r="T50" s="18"/>
      <c r="U50" s="18"/>
      <c r="V50" s="18"/>
      <c r="W50" s="18"/>
      <c r="X50" s="18"/>
      <c r="Y50" s="18"/>
    </row>
    <row r="51">
      <c r="A51" s="2"/>
      <c r="B51" s="31" t="s">
        <v>17</v>
      </c>
      <c r="C51" s="28">
        <v>22060.0</v>
      </c>
      <c r="D51" s="28">
        <v>1719.0</v>
      </c>
      <c r="E51" s="28">
        <v>99.0</v>
      </c>
      <c r="F51" s="28">
        <v>5276.0</v>
      </c>
      <c r="G51" s="24">
        <f t="shared" si="5"/>
        <v>29154</v>
      </c>
      <c r="H51" s="18"/>
      <c r="R51" s="30"/>
      <c r="S51" s="30"/>
      <c r="T51" s="18"/>
      <c r="U51" s="18"/>
      <c r="V51" s="18"/>
      <c r="W51" s="18"/>
      <c r="X51" s="18"/>
      <c r="Y51" s="18"/>
    </row>
    <row r="52">
      <c r="A52" s="2"/>
      <c r="B52" s="31" t="s">
        <v>18</v>
      </c>
      <c r="C52" s="28">
        <v>10050.0</v>
      </c>
      <c r="D52" s="28">
        <v>1055.0</v>
      </c>
      <c r="E52" s="28">
        <v>47.0</v>
      </c>
      <c r="F52" s="28">
        <v>5165.0</v>
      </c>
      <c r="G52" s="24">
        <f t="shared" si="5"/>
        <v>16317</v>
      </c>
      <c r="H52" s="18"/>
      <c r="R52" s="30"/>
      <c r="S52" s="30"/>
      <c r="T52" s="18"/>
      <c r="U52" s="18"/>
      <c r="V52" s="18"/>
      <c r="W52" s="18"/>
      <c r="X52" s="18"/>
      <c r="Y52" s="18"/>
    </row>
    <row r="53">
      <c r="A53" s="2"/>
      <c r="B53" s="32" t="s">
        <v>19</v>
      </c>
      <c r="C53" s="28">
        <v>10201.0</v>
      </c>
      <c r="D53" s="28">
        <v>700.0</v>
      </c>
      <c r="E53" s="28">
        <v>54.0</v>
      </c>
      <c r="F53" s="28">
        <v>2441.0</v>
      </c>
      <c r="G53" s="24">
        <f t="shared" si="5"/>
        <v>13396</v>
      </c>
      <c r="H53" s="18"/>
      <c r="R53" s="30"/>
      <c r="S53" s="30"/>
      <c r="T53" s="18"/>
      <c r="U53" s="18"/>
      <c r="V53" s="18"/>
      <c r="W53" s="18"/>
      <c r="X53" s="18"/>
      <c r="Y53" s="18"/>
    </row>
    <row r="54">
      <c r="A54" s="2"/>
      <c r="B54" s="31" t="s">
        <v>20</v>
      </c>
      <c r="C54" s="28">
        <v>10911.0</v>
      </c>
      <c r="D54" s="28">
        <v>904.0</v>
      </c>
      <c r="E54" s="28">
        <v>74.0</v>
      </c>
      <c r="F54" s="28">
        <v>4548.0</v>
      </c>
      <c r="G54" s="24">
        <f t="shared" si="5"/>
        <v>16437</v>
      </c>
      <c r="H54" s="18"/>
      <c r="R54" s="30"/>
      <c r="S54" s="30"/>
      <c r="T54" s="18"/>
      <c r="U54" s="18"/>
      <c r="V54" s="18"/>
      <c r="W54" s="18"/>
      <c r="X54" s="18"/>
      <c r="Y54" s="18"/>
    </row>
    <row r="55">
      <c r="A55" s="2"/>
      <c r="B55" s="31" t="s">
        <v>21</v>
      </c>
      <c r="C55" s="28">
        <v>16772.0</v>
      </c>
      <c r="D55" s="28">
        <v>1459.0</v>
      </c>
      <c r="E55" s="28">
        <v>71.0</v>
      </c>
      <c r="F55" s="28">
        <v>5016.0</v>
      </c>
      <c r="G55" s="24">
        <f t="shared" si="5"/>
        <v>23318</v>
      </c>
      <c r="H55" s="18"/>
      <c r="R55" s="30"/>
      <c r="S55" s="30"/>
      <c r="T55" s="18"/>
      <c r="U55" s="18"/>
      <c r="V55" s="18"/>
      <c r="W55" s="18"/>
      <c r="X55" s="18"/>
      <c r="Y55" s="18"/>
    </row>
    <row r="56">
      <c r="A56" s="2"/>
      <c r="B56" s="26" t="s">
        <v>22</v>
      </c>
      <c r="C56" s="24">
        <f t="shared" ref="C56:G56" si="6">SUM(C44:C55)</f>
        <v>110685</v>
      </c>
      <c r="D56" s="24">
        <f t="shared" si="6"/>
        <v>9238</v>
      </c>
      <c r="E56" s="24">
        <f t="shared" si="6"/>
        <v>533</v>
      </c>
      <c r="F56" s="24">
        <f t="shared" si="6"/>
        <v>38367</v>
      </c>
      <c r="G56" s="27">
        <f t="shared" si="6"/>
        <v>158823</v>
      </c>
      <c r="H56" s="18"/>
      <c r="R56" s="30"/>
      <c r="S56" s="30"/>
      <c r="T56" s="18"/>
      <c r="U56" s="18"/>
      <c r="V56" s="18"/>
      <c r="W56" s="18"/>
      <c r="X56" s="18"/>
      <c r="Y56" s="18"/>
    </row>
    <row r="57">
      <c r="A57" s="2"/>
      <c r="B57" s="2"/>
      <c r="C57" s="2"/>
      <c r="D57" s="2"/>
      <c r="E57" s="2"/>
      <c r="F57" s="2"/>
      <c r="G57" s="2"/>
      <c r="H57" s="18"/>
      <c r="I57" s="18"/>
      <c r="J57" s="18"/>
      <c r="K57" s="2"/>
      <c r="L57" s="18"/>
      <c r="M57" s="18"/>
      <c r="N57" s="18"/>
      <c r="O57" s="18"/>
      <c r="P57" s="18"/>
      <c r="Q57" s="18"/>
      <c r="R57" s="30"/>
      <c r="S57" s="30"/>
      <c r="T57" s="18"/>
      <c r="U57" s="18"/>
      <c r="V57" s="18"/>
      <c r="W57" s="18"/>
      <c r="X57" s="18"/>
      <c r="Y57" s="18"/>
    </row>
    <row r="58">
      <c r="A58" s="2"/>
      <c r="B58" s="2"/>
      <c r="C58" s="2"/>
      <c r="D58" s="2"/>
      <c r="E58" s="2"/>
      <c r="F58" s="2"/>
      <c r="G58" s="2"/>
      <c r="H58" s="18"/>
      <c r="I58" s="18"/>
      <c r="J58" s="18"/>
      <c r="K58" s="2"/>
      <c r="L58" s="18"/>
      <c r="M58" s="18"/>
      <c r="N58" s="18"/>
      <c r="O58" s="18"/>
      <c r="P58" s="18"/>
      <c r="Q58" s="18"/>
      <c r="R58" s="30"/>
      <c r="S58" s="30"/>
      <c r="T58" s="18"/>
      <c r="U58" s="18"/>
      <c r="V58" s="18"/>
      <c r="W58" s="18"/>
      <c r="X58" s="18"/>
      <c r="Y58" s="18"/>
    </row>
    <row r="59">
      <c r="A59" s="2"/>
      <c r="B59" s="29" t="s">
        <v>43</v>
      </c>
      <c r="C59" s="16"/>
      <c r="D59" s="16"/>
      <c r="E59" s="17"/>
      <c r="F59" s="29" t="s">
        <v>44</v>
      </c>
      <c r="G59" s="16"/>
      <c r="H59" s="16"/>
      <c r="I59" s="16"/>
      <c r="J59" s="17"/>
      <c r="K59" s="29" t="s">
        <v>45</v>
      </c>
      <c r="L59" s="17"/>
      <c r="M59" s="18"/>
      <c r="N59" s="18"/>
      <c r="O59" s="18"/>
      <c r="P59" s="18"/>
      <c r="Q59" s="18"/>
      <c r="R59" s="30"/>
      <c r="S59" s="30"/>
      <c r="T59" s="18"/>
      <c r="U59" s="18"/>
      <c r="V59" s="18"/>
      <c r="W59" s="18"/>
      <c r="X59" s="18"/>
      <c r="Y59" s="18"/>
    </row>
    <row r="60">
      <c r="A60" s="2"/>
      <c r="B60" s="19" t="s">
        <v>38</v>
      </c>
      <c r="C60" s="20" t="s">
        <v>46</v>
      </c>
      <c r="D60" s="20" t="s">
        <v>47</v>
      </c>
      <c r="E60" s="21" t="s">
        <v>22</v>
      </c>
      <c r="F60" s="20" t="s">
        <v>48</v>
      </c>
      <c r="G60" s="20" t="s">
        <v>49</v>
      </c>
      <c r="H60" s="20" t="s">
        <v>50</v>
      </c>
      <c r="I60" s="20" t="s">
        <v>51</v>
      </c>
      <c r="J60" s="21" t="s">
        <v>22</v>
      </c>
      <c r="K60" s="20" t="s">
        <v>52</v>
      </c>
      <c r="L60" s="20" t="s">
        <v>53</v>
      </c>
      <c r="M60" s="18"/>
      <c r="N60" s="18"/>
      <c r="O60" s="18"/>
      <c r="P60" s="18"/>
      <c r="Q60" s="18"/>
      <c r="R60" s="30"/>
      <c r="S60" s="30"/>
      <c r="T60" s="18"/>
      <c r="U60" s="18"/>
      <c r="V60" s="18"/>
      <c r="W60" s="18"/>
      <c r="X60" s="18"/>
      <c r="Y60" s="18"/>
    </row>
    <row r="61">
      <c r="A61" s="2"/>
      <c r="B61" s="31" t="s">
        <v>10</v>
      </c>
      <c r="C61" s="28">
        <v>2762.0</v>
      </c>
      <c r="D61" s="28">
        <v>4001.0</v>
      </c>
      <c r="E61" s="24">
        <f t="shared" ref="E61:E72" si="7">SUM(C61:D61)</f>
        <v>6763</v>
      </c>
      <c r="F61" s="28">
        <v>3930.0</v>
      </c>
      <c r="G61" s="28">
        <v>2820.0</v>
      </c>
      <c r="H61" s="28">
        <v>13.0</v>
      </c>
      <c r="I61" s="28">
        <v>0.0</v>
      </c>
      <c r="J61" s="24">
        <f t="shared" ref="J61:J72" si="8">SUM(F61:I61)</f>
        <v>6763</v>
      </c>
      <c r="K61" s="28">
        <v>532.0</v>
      </c>
      <c r="L61" s="33">
        <v>12.06349206</v>
      </c>
      <c r="M61" s="18"/>
      <c r="N61" s="18"/>
      <c r="O61" s="18"/>
      <c r="P61" s="18"/>
      <c r="Q61" s="18"/>
      <c r="R61" s="30"/>
      <c r="S61" s="30"/>
      <c r="T61" s="18"/>
      <c r="U61" s="18"/>
      <c r="V61" s="18"/>
      <c r="W61" s="18"/>
      <c r="X61" s="18"/>
      <c r="Y61" s="18"/>
    </row>
    <row r="62">
      <c r="A62" s="2"/>
      <c r="B62" s="31" t="s">
        <v>11</v>
      </c>
      <c r="C62" s="28">
        <v>3247.0</v>
      </c>
      <c r="D62" s="28">
        <v>4447.0</v>
      </c>
      <c r="E62" s="24">
        <f t="shared" si="7"/>
        <v>7694</v>
      </c>
      <c r="F62" s="28">
        <v>3973.0</v>
      </c>
      <c r="G62" s="28">
        <v>3702.0</v>
      </c>
      <c r="H62" s="28">
        <v>19.0</v>
      </c>
      <c r="I62" s="28">
        <v>0.0</v>
      </c>
      <c r="J62" s="24">
        <f t="shared" si="8"/>
        <v>7694</v>
      </c>
      <c r="K62" s="28">
        <v>755.0</v>
      </c>
      <c r="L62" s="33">
        <v>11.05417277</v>
      </c>
      <c r="M62" s="18"/>
      <c r="N62" s="18"/>
      <c r="O62" s="18"/>
      <c r="P62" s="18"/>
      <c r="Q62" s="18"/>
      <c r="R62" s="30"/>
      <c r="S62" s="30"/>
      <c r="T62" s="18"/>
      <c r="U62" s="18"/>
      <c r="V62" s="18"/>
      <c r="W62" s="18"/>
      <c r="X62" s="18"/>
      <c r="Y62" s="18"/>
    </row>
    <row r="63">
      <c r="A63" s="2"/>
      <c r="B63" s="31" t="s">
        <v>12</v>
      </c>
      <c r="C63" s="28">
        <v>2277.0</v>
      </c>
      <c r="D63" s="28">
        <v>2913.0</v>
      </c>
      <c r="E63" s="24">
        <f t="shared" si="7"/>
        <v>5190</v>
      </c>
      <c r="F63" s="28">
        <v>3018.0</v>
      </c>
      <c r="G63" s="28">
        <v>2133.0</v>
      </c>
      <c r="H63" s="28">
        <v>39.0</v>
      </c>
      <c r="I63" s="28">
        <v>0.0</v>
      </c>
      <c r="J63" s="24">
        <f t="shared" si="8"/>
        <v>5190</v>
      </c>
      <c r="K63" s="28">
        <v>563.0</v>
      </c>
      <c r="L63" s="33">
        <v>6.354401806</v>
      </c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>
      <c r="A64" s="2"/>
      <c r="B64" s="31" t="s">
        <v>13</v>
      </c>
      <c r="C64" s="28">
        <v>4487.0</v>
      </c>
      <c r="D64" s="28">
        <v>6547.0</v>
      </c>
      <c r="E64" s="24">
        <f t="shared" si="7"/>
        <v>11034</v>
      </c>
      <c r="F64" s="28">
        <v>4225.0</v>
      </c>
      <c r="G64" s="28">
        <v>6591.0</v>
      </c>
      <c r="H64" s="28">
        <v>216.0</v>
      </c>
      <c r="I64" s="28">
        <v>2.0</v>
      </c>
      <c r="J64" s="24">
        <f t="shared" si="8"/>
        <v>11034</v>
      </c>
      <c r="K64" s="28">
        <v>1218.0</v>
      </c>
      <c r="L64" s="33">
        <v>48.14229249</v>
      </c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>
      <c r="A65" s="2"/>
      <c r="B65" s="31" t="s">
        <v>14</v>
      </c>
      <c r="C65" s="28">
        <v>3248.0</v>
      </c>
      <c r="D65" s="28">
        <v>5222.0</v>
      </c>
      <c r="E65" s="24">
        <f t="shared" si="7"/>
        <v>8470</v>
      </c>
      <c r="F65" s="28">
        <v>5283.0</v>
      </c>
      <c r="G65" s="28">
        <v>3165.0</v>
      </c>
      <c r="H65" s="28">
        <v>21.0</v>
      </c>
      <c r="I65" s="28">
        <v>1.0</v>
      </c>
      <c r="J65" s="24">
        <f t="shared" si="8"/>
        <v>8470</v>
      </c>
      <c r="K65" s="28">
        <v>898.0</v>
      </c>
      <c r="L65" s="33">
        <v>34.01515152</v>
      </c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>
      <c r="A66" s="2"/>
      <c r="B66" s="31" t="s">
        <v>15</v>
      </c>
      <c r="C66" s="28">
        <v>11611.0</v>
      </c>
      <c r="D66" s="28">
        <v>15848.0</v>
      </c>
      <c r="E66" s="24">
        <f t="shared" si="7"/>
        <v>27459</v>
      </c>
      <c r="F66" s="28">
        <v>14854.0</v>
      </c>
      <c r="G66" s="28">
        <v>12258.0</v>
      </c>
      <c r="H66" s="28">
        <v>343.0</v>
      </c>
      <c r="I66" s="28">
        <v>4.0</v>
      </c>
      <c r="J66" s="24">
        <f t="shared" si="8"/>
        <v>27459</v>
      </c>
      <c r="K66" s="28">
        <v>3501.0</v>
      </c>
      <c r="L66" s="33">
        <v>37.56437768</v>
      </c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>
      <c r="A67" s="2"/>
      <c r="B67" s="31" t="s">
        <v>16</v>
      </c>
      <c r="C67" s="28">
        <v>12053.0</v>
      </c>
      <c r="D67" s="28">
        <v>17109.0</v>
      </c>
      <c r="E67" s="24">
        <f t="shared" si="7"/>
        <v>29162</v>
      </c>
      <c r="F67" s="28">
        <v>16609.0</v>
      </c>
      <c r="G67" s="28">
        <v>12283.0</v>
      </c>
      <c r="H67" s="28">
        <v>269.0</v>
      </c>
      <c r="I67" s="28">
        <v>1.0</v>
      </c>
      <c r="J67" s="24">
        <f t="shared" si="8"/>
        <v>29162</v>
      </c>
      <c r="K67" s="28">
        <v>3427.0</v>
      </c>
      <c r="L67" s="33">
        <v>109.8397436</v>
      </c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>
      <c r="A68" s="2"/>
      <c r="B68" s="31" t="s">
        <v>17</v>
      </c>
      <c r="C68" s="28">
        <v>6804.0</v>
      </c>
      <c r="D68" s="28">
        <v>9521.0</v>
      </c>
      <c r="E68" s="24">
        <f t="shared" si="7"/>
        <v>16325</v>
      </c>
      <c r="F68" s="28">
        <v>9448.0</v>
      </c>
      <c r="G68" s="28">
        <v>6684.0</v>
      </c>
      <c r="H68" s="28">
        <v>192.0</v>
      </c>
      <c r="I68" s="28">
        <v>1.0</v>
      </c>
      <c r="J68" s="24">
        <f t="shared" si="8"/>
        <v>16325</v>
      </c>
      <c r="K68" s="28">
        <v>1912.0</v>
      </c>
      <c r="L68" s="33">
        <v>214.8314607</v>
      </c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>
      <c r="A69" s="2"/>
      <c r="B69" s="31" t="s">
        <v>18</v>
      </c>
      <c r="C69" s="28">
        <v>6654.0</v>
      </c>
      <c r="D69" s="28">
        <v>9785.0</v>
      </c>
      <c r="E69" s="24">
        <f t="shared" si="7"/>
        <v>16439</v>
      </c>
      <c r="F69" s="28">
        <v>8329.0</v>
      </c>
      <c r="G69" s="28">
        <v>7968.0</v>
      </c>
      <c r="H69" s="28">
        <v>139.0</v>
      </c>
      <c r="I69" s="28">
        <v>3.0</v>
      </c>
      <c r="J69" s="24">
        <f t="shared" si="8"/>
        <v>16439</v>
      </c>
      <c r="K69" s="28">
        <v>1318.0</v>
      </c>
      <c r="L69" s="33">
        <v>78.45238095</v>
      </c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>
      <c r="A70" s="2"/>
      <c r="B70" s="32" t="s">
        <v>19</v>
      </c>
      <c r="C70" s="28">
        <v>5658.0</v>
      </c>
      <c r="D70" s="28">
        <v>7745.0</v>
      </c>
      <c r="E70" s="24">
        <f t="shared" si="7"/>
        <v>13403</v>
      </c>
      <c r="F70" s="28">
        <v>7755.0</v>
      </c>
      <c r="G70" s="28">
        <v>5477.0</v>
      </c>
      <c r="H70" s="28">
        <v>171.0</v>
      </c>
      <c r="I70" s="28">
        <v>0.0</v>
      </c>
      <c r="J70" s="24">
        <f t="shared" si="8"/>
        <v>13403</v>
      </c>
      <c r="K70" s="28">
        <v>2244.0</v>
      </c>
      <c r="L70" s="33">
        <v>173.9534884</v>
      </c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>
      <c r="A71" s="2"/>
      <c r="B71" s="31" t="s">
        <v>20</v>
      </c>
      <c r="C71" s="28">
        <v>9662.0</v>
      </c>
      <c r="D71" s="28">
        <v>13666.0</v>
      </c>
      <c r="E71" s="24">
        <f t="shared" si="7"/>
        <v>23328</v>
      </c>
      <c r="F71" s="28">
        <v>13415.0</v>
      </c>
      <c r="G71" s="28">
        <v>9763.0</v>
      </c>
      <c r="H71" s="28">
        <v>150.0</v>
      </c>
      <c r="I71" s="28">
        <v>0.0</v>
      </c>
      <c r="J71" s="24">
        <f t="shared" si="8"/>
        <v>23328</v>
      </c>
      <c r="K71" s="28">
        <v>2208.0</v>
      </c>
      <c r="L71" s="33">
        <v>171.1627907</v>
      </c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>
      <c r="A72" s="2"/>
      <c r="B72" s="31" t="s">
        <v>21</v>
      </c>
      <c r="C72" s="28">
        <v>6008.0</v>
      </c>
      <c r="D72" s="28">
        <v>8490.0</v>
      </c>
      <c r="E72" s="24">
        <f t="shared" si="7"/>
        <v>14498</v>
      </c>
      <c r="F72" s="28">
        <v>7516.0</v>
      </c>
      <c r="G72" s="28">
        <v>6919.0</v>
      </c>
      <c r="H72" s="28">
        <v>60.0</v>
      </c>
      <c r="I72" s="28">
        <v>3.0</v>
      </c>
      <c r="J72" s="24">
        <f t="shared" si="8"/>
        <v>14498</v>
      </c>
      <c r="K72" s="28">
        <v>1548.0</v>
      </c>
      <c r="L72" s="33">
        <v>121.8897638</v>
      </c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>
      <c r="A73" s="18"/>
      <c r="B73" s="26" t="s">
        <v>22</v>
      </c>
      <c r="C73" s="24">
        <f t="shared" ref="C73:K73" si="9">SUM(C61:C72)</f>
        <v>74471</v>
      </c>
      <c r="D73" s="24">
        <f t="shared" si="9"/>
        <v>105294</v>
      </c>
      <c r="E73" s="27">
        <f t="shared" si="9"/>
        <v>179765</v>
      </c>
      <c r="F73" s="24">
        <f t="shared" si="9"/>
        <v>98355</v>
      </c>
      <c r="G73" s="24">
        <f t="shared" si="9"/>
        <v>79763</v>
      </c>
      <c r="H73" s="24">
        <f t="shared" si="9"/>
        <v>1632</v>
      </c>
      <c r="I73" s="24">
        <f t="shared" si="9"/>
        <v>15</v>
      </c>
      <c r="J73" s="27">
        <f t="shared" si="9"/>
        <v>179765</v>
      </c>
      <c r="K73" s="24">
        <f t="shared" si="9"/>
        <v>20124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2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>
      <c r="A75" s="18"/>
      <c r="B75" s="29" t="s">
        <v>54</v>
      </c>
      <c r="C75" s="16"/>
      <c r="D75" s="16"/>
      <c r="E75" s="16"/>
      <c r="F75" s="16"/>
      <c r="G75" s="16"/>
      <c r="H75" s="16"/>
      <c r="I75" s="16"/>
      <c r="J75" s="16"/>
      <c r="K75" s="17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>
      <c r="A76" s="18"/>
      <c r="B76" s="19" t="s">
        <v>38</v>
      </c>
      <c r="C76" s="20" t="s">
        <v>55</v>
      </c>
      <c r="D76" s="20" t="s">
        <v>56</v>
      </c>
      <c r="E76" s="20" t="s">
        <v>57</v>
      </c>
      <c r="F76" s="20" t="s">
        <v>58</v>
      </c>
      <c r="G76" s="20" t="s">
        <v>59</v>
      </c>
      <c r="H76" s="20" t="s">
        <v>60</v>
      </c>
      <c r="I76" s="20" t="s">
        <v>61</v>
      </c>
      <c r="J76" s="20" t="s">
        <v>62</v>
      </c>
      <c r="K76" s="21" t="s">
        <v>22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>
      <c r="A77" s="18"/>
      <c r="B77" s="31" t="s">
        <v>10</v>
      </c>
      <c r="C77" s="34">
        <v>13.0</v>
      </c>
      <c r="D77" s="34">
        <v>83.0</v>
      </c>
      <c r="E77" s="34">
        <v>15.0</v>
      </c>
      <c r="F77" s="34">
        <v>22.0</v>
      </c>
      <c r="G77" s="34">
        <v>221.0</v>
      </c>
      <c r="H77" s="34">
        <v>107.0</v>
      </c>
      <c r="I77" s="34">
        <v>8.0</v>
      </c>
      <c r="J77" s="34">
        <v>126.0</v>
      </c>
      <c r="K77" s="24">
        <f t="shared" ref="K77:K88" si="10">SUM(C77:J77)</f>
        <v>595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>
      <c r="A78" s="18"/>
      <c r="B78" s="31" t="s">
        <v>11</v>
      </c>
      <c r="C78" s="34">
        <v>26.0</v>
      </c>
      <c r="D78" s="34">
        <v>77.0</v>
      </c>
      <c r="E78" s="34">
        <v>41.0</v>
      </c>
      <c r="F78" s="34">
        <v>32.0</v>
      </c>
      <c r="G78" s="34">
        <v>344.0</v>
      </c>
      <c r="H78" s="34">
        <v>235.0</v>
      </c>
      <c r="I78" s="34">
        <v>20.0</v>
      </c>
      <c r="J78" s="34">
        <v>194.0</v>
      </c>
      <c r="K78" s="24">
        <f t="shared" si="10"/>
        <v>969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>
      <c r="A79" s="18"/>
      <c r="B79" s="31" t="s">
        <v>12</v>
      </c>
      <c r="C79" s="34">
        <v>19.0</v>
      </c>
      <c r="D79" s="34">
        <v>84.0</v>
      </c>
      <c r="E79" s="34">
        <v>13.0</v>
      </c>
      <c r="F79" s="34">
        <v>31.0</v>
      </c>
      <c r="G79" s="34">
        <v>253.0</v>
      </c>
      <c r="H79" s="34">
        <v>124.0</v>
      </c>
      <c r="I79" s="34">
        <v>8.0</v>
      </c>
      <c r="J79" s="34">
        <v>157.0</v>
      </c>
      <c r="K79" s="24">
        <f t="shared" si="10"/>
        <v>689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>
      <c r="A80" s="18"/>
      <c r="B80" s="31" t="s">
        <v>13</v>
      </c>
      <c r="C80" s="34">
        <v>42.0</v>
      </c>
      <c r="D80" s="34">
        <v>111.0</v>
      </c>
      <c r="E80" s="34">
        <v>41.0</v>
      </c>
      <c r="F80" s="34">
        <v>27.0</v>
      </c>
      <c r="G80" s="34">
        <v>599.0</v>
      </c>
      <c r="H80" s="34">
        <v>458.0</v>
      </c>
      <c r="I80" s="34">
        <v>14.0</v>
      </c>
      <c r="J80" s="34">
        <v>141.0</v>
      </c>
      <c r="K80" s="24">
        <f t="shared" si="10"/>
        <v>1433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>
      <c r="A81" s="18"/>
      <c r="B81" s="31" t="s">
        <v>14</v>
      </c>
      <c r="C81" s="34">
        <v>36.0</v>
      </c>
      <c r="D81" s="34">
        <v>87.0</v>
      </c>
      <c r="E81" s="34">
        <v>46.0</v>
      </c>
      <c r="F81" s="34">
        <v>31.0</v>
      </c>
      <c r="G81" s="34">
        <v>429.0</v>
      </c>
      <c r="H81" s="34">
        <v>218.0</v>
      </c>
      <c r="I81" s="34">
        <v>21.0</v>
      </c>
      <c r="J81" s="34">
        <v>184.0</v>
      </c>
      <c r="K81" s="24">
        <f t="shared" si="10"/>
        <v>1052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>
      <c r="A82" s="18"/>
      <c r="B82" s="31" t="s">
        <v>15</v>
      </c>
      <c r="C82" s="34">
        <v>110.0</v>
      </c>
      <c r="D82" s="34">
        <v>378.0</v>
      </c>
      <c r="E82" s="34">
        <v>138.0</v>
      </c>
      <c r="F82" s="34">
        <v>161.0</v>
      </c>
      <c r="G82" s="34">
        <v>1622.0</v>
      </c>
      <c r="H82" s="34">
        <v>891.0</v>
      </c>
      <c r="I82" s="34">
        <v>70.0</v>
      </c>
      <c r="J82" s="34">
        <v>1014.0</v>
      </c>
      <c r="K82" s="24">
        <f t="shared" si="10"/>
        <v>4384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>
      <c r="A83" s="18"/>
      <c r="B83" s="31" t="s">
        <v>16</v>
      </c>
      <c r="C83" s="34">
        <v>173.0</v>
      </c>
      <c r="D83" s="34">
        <v>480.0</v>
      </c>
      <c r="E83" s="34">
        <v>144.0</v>
      </c>
      <c r="F83" s="34">
        <v>179.0</v>
      </c>
      <c r="G83" s="34">
        <v>1624.0</v>
      </c>
      <c r="H83" s="34">
        <v>763.0</v>
      </c>
      <c r="I83" s="34">
        <v>58.0</v>
      </c>
      <c r="J83" s="34">
        <v>883.0</v>
      </c>
      <c r="K83" s="24">
        <f t="shared" si="10"/>
        <v>4304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>
      <c r="A84" s="18"/>
      <c r="B84" s="31" t="s">
        <v>17</v>
      </c>
      <c r="C84" s="34">
        <v>78.0</v>
      </c>
      <c r="D84" s="34">
        <v>274.0</v>
      </c>
      <c r="E84" s="34">
        <v>77.0</v>
      </c>
      <c r="F84" s="34">
        <v>107.0</v>
      </c>
      <c r="G84" s="34">
        <v>868.0</v>
      </c>
      <c r="H84" s="34">
        <v>495.0</v>
      </c>
      <c r="I84" s="34">
        <v>31.0</v>
      </c>
      <c r="J84" s="34">
        <v>385.0</v>
      </c>
      <c r="K84" s="24">
        <f t="shared" si="10"/>
        <v>2315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>
      <c r="A85" s="18"/>
      <c r="B85" s="31" t="s">
        <v>18</v>
      </c>
      <c r="C85" s="34">
        <v>63.0</v>
      </c>
      <c r="D85" s="34">
        <v>222.0</v>
      </c>
      <c r="E85" s="34">
        <v>51.0</v>
      </c>
      <c r="F85" s="34">
        <v>76.0</v>
      </c>
      <c r="G85" s="34">
        <v>517.0</v>
      </c>
      <c r="H85" s="34">
        <v>383.0</v>
      </c>
      <c r="I85" s="34">
        <v>24.0</v>
      </c>
      <c r="J85" s="34">
        <v>259.0</v>
      </c>
      <c r="K85" s="24">
        <f t="shared" si="10"/>
        <v>1595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>
      <c r="A86" s="18"/>
      <c r="B86" s="32" t="s">
        <v>19</v>
      </c>
      <c r="C86" s="34">
        <v>65.0</v>
      </c>
      <c r="D86" s="34">
        <v>277.0</v>
      </c>
      <c r="E86" s="34">
        <v>127.0</v>
      </c>
      <c r="F86" s="34">
        <v>115.0</v>
      </c>
      <c r="G86" s="34">
        <v>1030.0</v>
      </c>
      <c r="H86" s="34">
        <v>571.0</v>
      </c>
      <c r="I86" s="34">
        <v>30.0</v>
      </c>
      <c r="J86" s="34">
        <v>721.0</v>
      </c>
      <c r="K86" s="24">
        <f t="shared" si="10"/>
        <v>2936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>
      <c r="A87" s="18"/>
      <c r="B87" s="31" t="s">
        <v>20</v>
      </c>
      <c r="C87" s="34">
        <v>116.0</v>
      </c>
      <c r="D87" s="34">
        <v>185.0</v>
      </c>
      <c r="E87" s="34">
        <v>102.0</v>
      </c>
      <c r="F87" s="34">
        <v>93.0</v>
      </c>
      <c r="G87" s="34">
        <v>1043.0</v>
      </c>
      <c r="H87" s="34">
        <v>642.0</v>
      </c>
      <c r="I87" s="34">
        <v>34.0</v>
      </c>
      <c r="J87" s="34">
        <v>511.0</v>
      </c>
      <c r="K87" s="24">
        <f t="shared" si="10"/>
        <v>2726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>
      <c r="A88" s="18"/>
      <c r="B88" s="31" t="s">
        <v>21</v>
      </c>
      <c r="C88" s="34">
        <v>90.0</v>
      </c>
      <c r="D88" s="34">
        <v>159.0</v>
      </c>
      <c r="E88" s="34">
        <v>54.0</v>
      </c>
      <c r="F88" s="34">
        <v>54.0</v>
      </c>
      <c r="G88" s="34">
        <v>727.0</v>
      </c>
      <c r="H88" s="34">
        <v>371.0</v>
      </c>
      <c r="I88" s="34">
        <v>18.0</v>
      </c>
      <c r="J88" s="34">
        <v>344.0</v>
      </c>
      <c r="K88" s="24">
        <f t="shared" si="10"/>
        <v>1817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>
      <c r="A89" s="18"/>
      <c r="B89" s="26" t="s">
        <v>22</v>
      </c>
      <c r="C89" s="24">
        <f t="shared" ref="C89:K89" si="11">SUM(C77:C88)</f>
        <v>831</v>
      </c>
      <c r="D89" s="24">
        <f t="shared" si="11"/>
        <v>2417</v>
      </c>
      <c r="E89" s="24">
        <f t="shared" si="11"/>
        <v>849</v>
      </c>
      <c r="F89" s="24">
        <f t="shared" si="11"/>
        <v>928</v>
      </c>
      <c r="G89" s="24">
        <f t="shared" si="11"/>
        <v>9277</v>
      </c>
      <c r="H89" s="24">
        <f t="shared" si="11"/>
        <v>5258</v>
      </c>
      <c r="I89" s="24">
        <f t="shared" si="11"/>
        <v>336</v>
      </c>
      <c r="J89" s="24">
        <f t="shared" si="11"/>
        <v>4919</v>
      </c>
      <c r="K89" s="27">
        <f t="shared" si="11"/>
        <v>24815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2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>
      <c r="A91" s="18"/>
      <c r="B91" s="29" t="s">
        <v>63</v>
      </c>
      <c r="C91" s="16"/>
      <c r="D91" s="16"/>
      <c r="E91" s="16"/>
      <c r="F91" s="16"/>
      <c r="G91" s="17"/>
      <c r="H91" s="18"/>
      <c r="I91" s="29" t="s">
        <v>64</v>
      </c>
      <c r="J91" s="16"/>
      <c r="K91" s="16"/>
      <c r="L91" s="16"/>
      <c r="M91" s="17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>
      <c r="A92" s="18"/>
      <c r="B92" s="19" t="s">
        <v>38</v>
      </c>
      <c r="C92" s="35" t="s">
        <v>65</v>
      </c>
      <c r="D92" s="35" t="s">
        <v>66</v>
      </c>
      <c r="E92" s="35" t="s">
        <v>67</v>
      </c>
      <c r="F92" s="35" t="s">
        <v>68</v>
      </c>
      <c r="G92" s="21" t="s">
        <v>22</v>
      </c>
      <c r="H92" s="18"/>
      <c r="I92" s="19" t="s">
        <v>38</v>
      </c>
      <c r="J92" s="20" t="s">
        <v>69</v>
      </c>
      <c r="K92" s="20" t="s">
        <v>70</v>
      </c>
      <c r="L92" s="21" t="s">
        <v>22</v>
      </c>
      <c r="M92" s="36" t="s">
        <v>71</v>
      </c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>
      <c r="A93" s="18"/>
      <c r="B93" s="32" t="s">
        <v>10</v>
      </c>
      <c r="C93" s="34">
        <v>2461.0</v>
      </c>
      <c r="D93" s="34">
        <v>33.0</v>
      </c>
      <c r="E93" s="34">
        <v>3605.0</v>
      </c>
      <c r="F93" s="34">
        <v>664.0</v>
      </c>
      <c r="G93" s="24">
        <f t="shared" ref="G93:G101" si="12">SUM(C93:F93)</f>
        <v>6763</v>
      </c>
      <c r="H93" s="18"/>
      <c r="I93" s="32" t="s">
        <v>10</v>
      </c>
      <c r="J93" s="37">
        <v>3673.0</v>
      </c>
      <c r="K93" s="37">
        <v>257.0</v>
      </c>
      <c r="L93" s="24">
        <f t="shared" ref="L93:L105" si="13">SUM(J93:K93)</f>
        <v>3930</v>
      </c>
      <c r="M93" s="38">
        <f t="shared" ref="M93:M105" si="14">J93/L93</f>
        <v>0.934605598</v>
      </c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35.25" customHeight="1">
      <c r="A94" s="18"/>
      <c r="B94" s="32" t="s">
        <v>11</v>
      </c>
      <c r="C94" s="34">
        <v>2322.0</v>
      </c>
      <c r="D94" s="34">
        <v>76.0</v>
      </c>
      <c r="E94" s="34">
        <v>4474.0</v>
      </c>
      <c r="F94" s="34">
        <v>822.0</v>
      </c>
      <c r="G94" s="24">
        <f t="shared" si="12"/>
        <v>7694</v>
      </c>
      <c r="H94" s="18"/>
      <c r="I94" s="32" t="s">
        <v>11</v>
      </c>
      <c r="J94" s="37">
        <v>4563.0</v>
      </c>
      <c r="K94" s="37">
        <v>320.0</v>
      </c>
      <c r="L94" s="24">
        <f t="shared" si="13"/>
        <v>4883</v>
      </c>
      <c r="M94" s="38">
        <f t="shared" si="14"/>
        <v>0.9344665165</v>
      </c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>
      <c r="A95" s="18"/>
      <c r="B95" s="32" t="s">
        <v>12</v>
      </c>
      <c r="C95" s="34">
        <v>1640.0</v>
      </c>
      <c r="D95" s="34">
        <v>63.0</v>
      </c>
      <c r="E95" s="34">
        <v>2973.0</v>
      </c>
      <c r="F95" s="34">
        <v>514.0</v>
      </c>
      <c r="G95" s="24">
        <f t="shared" si="12"/>
        <v>5190</v>
      </c>
      <c r="H95" s="18"/>
      <c r="I95" s="32" t="s">
        <v>12</v>
      </c>
      <c r="J95" s="37">
        <v>3097.0</v>
      </c>
      <c r="K95" s="37">
        <v>205.0</v>
      </c>
      <c r="L95" s="24">
        <f t="shared" si="13"/>
        <v>3302</v>
      </c>
      <c r="M95" s="38">
        <f t="shared" si="14"/>
        <v>0.9379164143</v>
      </c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29.25" customHeight="1">
      <c r="A96" s="18"/>
      <c r="B96" s="32" t="s">
        <v>13</v>
      </c>
      <c r="C96" s="34">
        <v>3895.0</v>
      </c>
      <c r="D96" s="34">
        <v>87.0</v>
      </c>
      <c r="E96" s="34">
        <v>6019.0</v>
      </c>
      <c r="F96" s="34">
        <v>1033.0</v>
      </c>
      <c r="G96" s="24">
        <f t="shared" si="12"/>
        <v>11034</v>
      </c>
      <c r="H96" s="18"/>
      <c r="I96" s="32" t="s">
        <v>13</v>
      </c>
      <c r="J96" s="37">
        <v>6247.0</v>
      </c>
      <c r="K96" s="37">
        <v>399.0</v>
      </c>
      <c r="L96" s="24">
        <f t="shared" si="13"/>
        <v>6646</v>
      </c>
      <c r="M96" s="38">
        <f t="shared" si="14"/>
        <v>0.9399638881</v>
      </c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27.75" customHeight="1">
      <c r="A97" s="18"/>
      <c r="B97" s="32" t="s">
        <v>14</v>
      </c>
      <c r="C97" s="34">
        <v>3218.0</v>
      </c>
      <c r="D97" s="34">
        <v>60.0</v>
      </c>
      <c r="E97" s="34">
        <v>4523.0</v>
      </c>
      <c r="F97" s="34">
        <v>668.0</v>
      </c>
      <c r="G97" s="24">
        <f t="shared" si="12"/>
        <v>8469</v>
      </c>
      <c r="H97" s="18"/>
      <c r="I97" s="32" t="s">
        <v>14</v>
      </c>
      <c r="J97" s="37">
        <v>4644.0</v>
      </c>
      <c r="K97" s="37">
        <v>284.0</v>
      </c>
      <c r="L97" s="24">
        <f t="shared" si="13"/>
        <v>4928</v>
      </c>
      <c r="M97" s="38">
        <f t="shared" si="14"/>
        <v>0.9423701299</v>
      </c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30.0" customHeight="1">
      <c r="A98" s="18"/>
      <c r="B98" s="32" t="s">
        <v>15</v>
      </c>
      <c r="C98" s="34">
        <v>8163.0</v>
      </c>
      <c r="D98" s="34">
        <v>521.0</v>
      </c>
      <c r="E98" s="34">
        <v>16588.0</v>
      </c>
      <c r="F98" s="34">
        <v>2187.0</v>
      </c>
      <c r="G98" s="24">
        <f t="shared" si="12"/>
        <v>27459</v>
      </c>
      <c r="H98" s="18"/>
      <c r="I98" s="32" t="s">
        <v>15</v>
      </c>
      <c r="J98" s="37">
        <v>17076.0</v>
      </c>
      <c r="K98" s="37">
        <v>970.0</v>
      </c>
      <c r="L98" s="24">
        <f t="shared" si="13"/>
        <v>18046</v>
      </c>
      <c r="M98" s="38">
        <f t="shared" si="14"/>
        <v>0.9462484761</v>
      </c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27.75" customHeight="1">
      <c r="A99" s="18"/>
      <c r="B99" s="32" t="s">
        <v>16</v>
      </c>
      <c r="C99" s="34">
        <v>8671.0</v>
      </c>
      <c r="D99" s="34">
        <v>307.0</v>
      </c>
      <c r="E99" s="34">
        <v>17820.0</v>
      </c>
      <c r="F99" s="34">
        <v>2364.0</v>
      </c>
      <c r="G99" s="24">
        <f t="shared" si="12"/>
        <v>29162</v>
      </c>
      <c r="H99" s="18"/>
      <c r="I99" s="32" t="s">
        <v>16</v>
      </c>
      <c r="J99" s="37">
        <v>18280.0</v>
      </c>
      <c r="K99" s="37">
        <v>891.0</v>
      </c>
      <c r="L99" s="24">
        <f t="shared" si="13"/>
        <v>19171</v>
      </c>
      <c r="M99" s="38">
        <f t="shared" si="14"/>
        <v>0.9535235512</v>
      </c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>
      <c r="A100" s="18"/>
      <c r="B100" s="32" t="s">
        <v>17</v>
      </c>
      <c r="C100" s="34">
        <v>5229.0</v>
      </c>
      <c r="D100" s="34">
        <v>172.0</v>
      </c>
      <c r="E100" s="34">
        <v>9377.0</v>
      </c>
      <c r="F100" s="34">
        <v>1547.0</v>
      </c>
      <c r="G100" s="24">
        <f t="shared" si="12"/>
        <v>16325</v>
      </c>
      <c r="H100" s="18"/>
      <c r="I100" s="32" t="s">
        <v>17</v>
      </c>
      <c r="J100" s="37">
        <v>9571.0</v>
      </c>
      <c r="K100" s="37">
        <v>623.0</v>
      </c>
      <c r="L100" s="24">
        <f t="shared" si="13"/>
        <v>10194</v>
      </c>
      <c r="M100" s="38">
        <f t="shared" si="14"/>
        <v>0.938885619</v>
      </c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>
      <c r="A101" s="18"/>
      <c r="B101" s="32" t="s">
        <v>18</v>
      </c>
      <c r="C101" s="34">
        <v>5463.0</v>
      </c>
      <c r="D101" s="34">
        <v>142.0</v>
      </c>
      <c r="E101" s="34">
        <v>9192.0</v>
      </c>
      <c r="F101" s="34">
        <v>1642.0</v>
      </c>
      <c r="G101" s="24">
        <f t="shared" si="12"/>
        <v>16439</v>
      </c>
      <c r="H101" s="18"/>
      <c r="I101" s="32" t="s">
        <v>18</v>
      </c>
      <c r="J101" s="37">
        <v>9434.0</v>
      </c>
      <c r="K101" s="37">
        <v>469.0</v>
      </c>
      <c r="L101" s="24">
        <f t="shared" si="13"/>
        <v>9903</v>
      </c>
      <c r="M101" s="38">
        <f t="shared" si="14"/>
        <v>0.952640614</v>
      </c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>
      <c r="A102" s="18"/>
      <c r="B102" s="32" t="s">
        <v>19</v>
      </c>
      <c r="C102" s="34">
        <v>3530.0</v>
      </c>
      <c r="D102" s="34">
        <v>194.0</v>
      </c>
      <c r="E102" s="34">
        <v>8640.0</v>
      </c>
      <c r="F102" s="34">
        <v>1039.0</v>
      </c>
      <c r="G102" s="24"/>
      <c r="H102" s="18"/>
      <c r="I102" s="32" t="s">
        <v>19</v>
      </c>
      <c r="J102" s="37">
        <v>8815.0</v>
      </c>
      <c r="K102" s="37">
        <v>519.0</v>
      </c>
      <c r="L102" s="24">
        <f t="shared" si="13"/>
        <v>9334</v>
      </c>
      <c r="M102" s="38">
        <f t="shared" si="14"/>
        <v>0.9443968288</v>
      </c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>
      <c r="A103" s="18"/>
      <c r="B103" s="32" t="s">
        <v>20</v>
      </c>
      <c r="C103" s="34">
        <v>7627.0</v>
      </c>
      <c r="D103" s="34">
        <v>212.0</v>
      </c>
      <c r="E103" s="34">
        <v>13384.0</v>
      </c>
      <c r="F103" s="34">
        <v>2105.0</v>
      </c>
      <c r="G103" s="24">
        <f t="shared" ref="G103:G104" si="15">SUM(C103:F103)</f>
        <v>23328</v>
      </c>
      <c r="H103" s="18"/>
      <c r="I103" s="32" t="s">
        <v>20</v>
      </c>
      <c r="J103" s="37">
        <v>13606.0</v>
      </c>
      <c r="K103" s="37">
        <v>910.0</v>
      </c>
      <c r="L103" s="24">
        <f t="shared" si="13"/>
        <v>14516</v>
      </c>
      <c r="M103" s="38">
        <f t="shared" si="14"/>
        <v>0.9373105539</v>
      </c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>
      <c r="A104" s="18"/>
      <c r="B104" s="32" t="s">
        <v>21</v>
      </c>
      <c r="C104" s="34">
        <v>4937.0</v>
      </c>
      <c r="D104" s="34">
        <v>114.0</v>
      </c>
      <c r="E104" s="34">
        <v>8134.0</v>
      </c>
      <c r="F104" s="34">
        <v>1313.0</v>
      </c>
      <c r="G104" s="24">
        <f t="shared" si="15"/>
        <v>14498</v>
      </c>
      <c r="H104" s="18"/>
      <c r="I104" s="32" t="s">
        <v>21</v>
      </c>
      <c r="J104" s="37">
        <v>8393.0</v>
      </c>
      <c r="K104" s="37">
        <v>509.0</v>
      </c>
      <c r="L104" s="24">
        <f t="shared" si="13"/>
        <v>8902</v>
      </c>
      <c r="M104" s="38">
        <f t="shared" si="14"/>
        <v>0.9428218378</v>
      </c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>
      <c r="A105" s="18"/>
      <c r="B105" s="26" t="s">
        <v>22</v>
      </c>
      <c r="C105" s="24">
        <f t="shared" ref="C105:G105" si="16">SUM(C93:C104)</f>
        <v>57156</v>
      </c>
      <c r="D105" s="24">
        <f t="shared" si="16"/>
        <v>1981</v>
      </c>
      <c r="E105" s="24">
        <f t="shared" si="16"/>
        <v>104729</v>
      </c>
      <c r="F105" s="24">
        <f t="shared" si="16"/>
        <v>15898</v>
      </c>
      <c r="G105" s="24">
        <f t="shared" si="16"/>
        <v>166361</v>
      </c>
      <c r="H105" s="18"/>
      <c r="I105" s="26" t="s">
        <v>22</v>
      </c>
      <c r="J105" s="24">
        <f t="shared" ref="J105:K105" si="17">SUM(J93:J104)</f>
        <v>107399</v>
      </c>
      <c r="K105" s="24">
        <f t="shared" si="17"/>
        <v>6356</v>
      </c>
      <c r="L105" s="24">
        <f t="shared" si="13"/>
        <v>113755</v>
      </c>
      <c r="M105" s="38">
        <f t="shared" si="14"/>
        <v>0.9441255329</v>
      </c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2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2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>
      <c r="A108" s="18"/>
      <c r="B108" s="29" t="s">
        <v>72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7"/>
      <c r="R108" s="18"/>
      <c r="S108" s="18"/>
      <c r="T108" s="18"/>
      <c r="U108" s="18"/>
      <c r="V108" s="18"/>
      <c r="W108" s="18"/>
      <c r="X108" s="18"/>
      <c r="Y108" s="18"/>
    </row>
    <row r="109" ht="75.75" customHeight="1">
      <c r="A109" s="18"/>
      <c r="B109" s="19" t="s">
        <v>38</v>
      </c>
      <c r="C109" s="20" t="s">
        <v>73</v>
      </c>
      <c r="D109" s="20" t="s">
        <v>74</v>
      </c>
      <c r="E109" s="20" t="s">
        <v>75</v>
      </c>
      <c r="F109" s="20" t="s">
        <v>76</v>
      </c>
      <c r="G109" s="20" t="s">
        <v>77</v>
      </c>
      <c r="H109" s="20" t="s">
        <v>78</v>
      </c>
      <c r="I109" s="20" t="s">
        <v>79</v>
      </c>
      <c r="J109" s="20" t="s">
        <v>80</v>
      </c>
      <c r="K109" s="20" t="s">
        <v>81</v>
      </c>
      <c r="L109" s="20" t="s">
        <v>82</v>
      </c>
      <c r="M109" s="20" t="s">
        <v>83</v>
      </c>
      <c r="N109" s="20" t="s">
        <v>84</v>
      </c>
      <c r="O109" s="20" t="s">
        <v>85</v>
      </c>
      <c r="P109" s="20" t="s">
        <v>86</v>
      </c>
      <c r="Q109" s="20" t="s">
        <v>87</v>
      </c>
      <c r="R109" s="39" t="s">
        <v>22</v>
      </c>
      <c r="S109" s="18"/>
      <c r="T109" s="18"/>
      <c r="U109" s="18"/>
      <c r="V109" s="18"/>
      <c r="W109" s="18"/>
      <c r="X109" s="18"/>
      <c r="Y109" s="18"/>
    </row>
    <row r="110">
      <c r="A110" s="18"/>
      <c r="B110" s="32" t="s">
        <v>10</v>
      </c>
      <c r="C110" s="40">
        <v>6.0</v>
      </c>
      <c r="D110" s="40">
        <v>1.0</v>
      </c>
      <c r="E110" s="40">
        <v>7.0</v>
      </c>
      <c r="F110" s="40">
        <v>413.0</v>
      </c>
      <c r="G110" s="40">
        <v>596.0</v>
      </c>
      <c r="H110" s="40">
        <v>574.0</v>
      </c>
      <c r="I110" s="40">
        <v>8.0</v>
      </c>
      <c r="J110" s="40">
        <v>1913.0</v>
      </c>
      <c r="K110" s="40">
        <v>13.0</v>
      </c>
      <c r="L110" s="40">
        <v>4.0</v>
      </c>
      <c r="M110" s="40">
        <v>4.0</v>
      </c>
      <c r="N110" s="40">
        <v>18.0</v>
      </c>
      <c r="O110" s="40">
        <v>44.0</v>
      </c>
      <c r="P110" s="40">
        <v>1.0</v>
      </c>
      <c r="Q110" s="40">
        <v>4.0</v>
      </c>
      <c r="R110" s="41">
        <f t="shared" ref="R110:R122" si="18">SUM(C110:Q110)</f>
        <v>3606</v>
      </c>
      <c r="S110" s="18"/>
      <c r="T110" s="18"/>
      <c r="U110" s="18"/>
      <c r="V110" s="18"/>
      <c r="W110" s="18"/>
      <c r="X110" s="18"/>
      <c r="Y110" s="18"/>
    </row>
    <row r="111">
      <c r="A111" s="18"/>
      <c r="B111" s="32" t="s">
        <v>11</v>
      </c>
      <c r="C111" s="40">
        <v>6.0</v>
      </c>
      <c r="D111" s="40">
        <v>2.0</v>
      </c>
      <c r="E111" s="40">
        <v>11.0</v>
      </c>
      <c r="F111" s="40">
        <v>712.0</v>
      </c>
      <c r="G111" s="40">
        <v>825.0</v>
      </c>
      <c r="H111" s="40">
        <v>142.0</v>
      </c>
      <c r="I111" s="40">
        <v>26.0</v>
      </c>
      <c r="J111" s="40">
        <v>2456.0</v>
      </c>
      <c r="K111" s="40">
        <v>41.0</v>
      </c>
      <c r="L111" s="40">
        <v>2.0</v>
      </c>
      <c r="M111" s="40">
        <v>21.0</v>
      </c>
      <c r="N111" s="40">
        <v>29.0</v>
      </c>
      <c r="O111" s="40">
        <v>190.0</v>
      </c>
      <c r="P111" s="40">
        <v>2.0</v>
      </c>
      <c r="Q111" s="40">
        <v>9.0</v>
      </c>
      <c r="R111" s="41">
        <f t="shared" si="18"/>
        <v>4474</v>
      </c>
      <c r="S111" s="18"/>
      <c r="T111" s="18"/>
      <c r="U111" s="18"/>
      <c r="V111" s="18"/>
      <c r="W111" s="18"/>
      <c r="X111" s="18"/>
      <c r="Y111" s="18"/>
    </row>
    <row r="112">
      <c r="A112" s="18"/>
      <c r="B112" s="32" t="s">
        <v>12</v>
      </c>
      <c r="C112" s="40">
        <v>5.0</v>
      </c>
      <c r="D112" s="40">
        <v>0.0</v>
      </c>
      <c r="E112" s="40">
        <v>3.0</v>
      </c>
      <c r="F112" s="40">
        <v>542.0</v>
      </c>
      <c r="G112" s="40">
        <v>708.0</v>
      </c>
      <c r="H112" s="40">
        <v>121.0</v>
      </c>
      <c r="I112" s="40">
        <v>11.0</v>
      </c>
      <c r="J112" s="40">
        <v>1396.0</v>
      </c>
      <c r="K112" s="40">
        <v>10.0</v>
      </c>
      <c r="L112" s="40">
        <v>9.0</v>
      </c>
      <c r="M112" s="40">
        <v>17.0</v>
      </c>
      <c r="N112" s="40">
        <v>34.0</v>
      </c>
      <c r="O112" s="40">
        <v>104.0</v>
      </c>
      <c r="P112" s="40">
        <v>1.0</v>
      </c>
      <c r="Q112" s="40">
        <v>13.0</v>
      </c>
      <c r="R112" s="41">
        <f t="shared" si="18"/>
        <v>2974</v>
      </c>
      <c r="S112" s="18"/>
      <c r="T112" s="18"/>
      <c r="U112" s="18"/>
      <c r="V112" s="18"/>
      <c r="W112" s="18"/>
      <c r="X112" s="18"/>
      <c r="Y112" s="18"/>
    </row>
    <row r="113">
      <c r="A113" s="18"/>
      <c r="B113" s="32" t="s">
        <v>13</v>
      </c>
      <c r="C113" s="40">
        <v>4.0</v>
      </c>
      <c r="D113" s="40">
        <v>4.0</v>
      </c>
      <c r="E113" s="40">
        <v>9.0</v>
      </c>
      <c r="F113" s="40">
        <v>1043.0</v>
      </c>
      <c r="G113" s="40">
        <v>1212.0</v>
      </c>
      <c r="H113" s="40">
        <v>195.0</v>
      </c>
      <c r="I113" s="40">
        <v>26.0</v>
      </c>
      <c r="J113" s="40">
        <v>3186.0</v>
      </c>
      <c r="K113" s="40">
        <v>30.0</v>
      </c>
      <c r="L113" s="40">
        <v>6.0</v>
      </c>
      <c r="M113" s="40">
        <v>18.0</v>
      </c>
      <c r="N113" s="40">
        <v>37.0</v>
      </c>
      <c r="O113" s="40">
        <v>248.0</v>
      </c>
      <c r="P113" s="40">
        <v>1.0</v>
      </c>
      <c r="Q113" s="40">
        <v>19.0</v>
      </c>
      <c r="R113" s="41">
        <f t="shared" si="18"/>
        <v>6038</v>
      </c>
      <c r="S113" s="18"/>
      <c r="T113" s="18"/>
      <c r="U113" s="18"/>
      <c r="V113" s="18"/>
      <c r="W113" s="18"/>
      <c r="X113" s="18"/>
      <c r="Y113" s="18"/>
    </row>
    <row r="114">
      <c r="A114" s="18"/>
      <c r="B114" s="32" t="s">
        <v>14</v>
      </c>
      <c r="C114" s="40">
        <v>11.0</v>
      </c>
      <c r="D114" s="40">
        <v>2.0</v>
      </c>
      <c r="E114" s="40">
        <v>9.0</v>
      </c>
      <c r="F114" s="40">
        <v>621.0</v>
      </c>
      <c r="G114" s="40">
        <v>978.0</v>
      </c>
      <c r="H114" s="40">
        <v>193.0</v>
      </c>
      <c r="I114" s="40">
        <v>13.0</v>
      </c>
      <c r="J114" s="40">
        <v>2548.0</v>
      </c>
      <c r="K114" s="40">
        <v>9.0</v>
      </c>
      <c r="L114" s="40">
        <v>8.0</v>
      </c>
      <c r="M114" s="40">
        <v>9.0</v>
      </c>
      <c r="N114" s="40">
        <v>29.0</v>
      </c>
      <c r="O114" s="40">
        <v>89.0</v>
      </c>
      <c r="P114" s="40">
        <v>1.0</v>
      </c>
      <c r="Q114" s="40">
        <v>5.0</v>
      </c>
      <c r="R114" s="41">
        <f t="shared" si="18"/>
        <v>4525</v>
      </c>
      <c r="S114" s="18"/>
      <c r="T114" s="18"/>
      <c r="U114" s="18"/>
      <c r="V114" s="18"/>
      <c r="W114" s="18"/>
      <c r="X114" s="18"/>
      <c r="Y114" s="18"/>
    </row>
    <row r="115">
      <c r="A115" s="18"/>
      <c r="B115" s="32" t="s">
        <v>15</v>
      </c>
      <c r="C115" s="40">
        <v>11.0</v>
      </c>
      <c r="D115" s="40">
        <v>7.0</v>
      </c>
      <c r="E115" s="40">
        <v>13.0</v>
      </c>
      <c r="F115" s="40">
        <v>2467.0</v>
      </c>
      <c r="G115" s="40">
        <v>3250.0</v>
      </c>
      <c r="H115" s="40">
        <v>417.0</v>
      </c>
      <c r="I115" s="40">
        <v>51.0</v>
      </c>
      <c r="J115" s="40">
        <v>8870.0</v>
      </c>
      <c r="K115" s="40">
        <v>49.0</v>
      </c>
      <c r="L115" s="40">
        <v>9.0</v>
      </c>
      <c r="M115" s="40">
        <v>44.0</v>
      </c>
      <c r="N115" s="40">
        <v>184.0</v>
      </c>
      <c r="O115" s="40">
        <v>1195.0</v>
      </c>
      <c r="P115" s="40">
        <v>3.0</v>
      </c>
      <c r="Q115" s="40">
        <v>36.0</v>
      </c>
      <c r="R115" s="41">
        <f t="shared" si="18"/>
        <v>16606</v>
      </c>
      <c r="S115" s="18"/>
      <c r="T115" s="18"/>
      <c r="U115" s="18"/>
      <c r="V115" s="18"/>
      <c r="W115" s="18"/>
      <c r="X115" s="18"/>
      <c r="Y115" s="18"/>
    </row>
    <row r="116">
      <c r="A116" s="18"/>
      <c r="B116" s="32" t="s">
        <v>16</v>
      </c>
      <c r="C116" s="40">
        <v>7.0</v>
      </c>
      <c r="D116" s="40">
        <v>6.0</v>
      </c>
      <c r="E116" s="40">
        <v>19.0</v>
      </c>
      <c r="F116" s="40">
        <v>2924.0</v>
      </c>
      <c r="G116" s="40">
        <v>3037.0</v>
      </c>
      <c r="H116" s="40">
        <v>879.0</v>
      </c>
      <c r="I116" s="40">
        <v>29.0</v>
      </c>
      <c r="J116" s="40">
        <v>9723.0</v>
      </c>
      <c r="K116" s="40">
        <v>56.0</v>
      </c>
      <c r="L116" s="40">
        <v>208.0</v>
      </c>
      <c r="M116" s="40">
        <v>98.0</v>
      </c>
      <c r="N116" s="40">
        <v>147.0</v>
      </c>
      <c r="O116" s="40">
        <v>655.0</v>
      </c>
      <c r="P116" s="40">
        <v>10.0</v>
      </c>
      <c r="Q116" s="40">
        <v>32.0</v>
      </c>
      <c r="R116" s="41">
        <f t="shared" si="18"/>
        <v>17830</v>
      </c>
      <c r="S116" s="18"/>
      <c r="T116" s="18"/>
      <c r="U116" s="18"/>
      <c r="V116" s="18"/>
      <c r="W116" s="18"/>
      <c r="X116" s="18"/>
      <c r="Y116" s="18"/>
    </row>
    <row r="117">
      <c r="A117" s="18"/>
      <c r="B117" s="32" t="s">
        <v>17</v>
      </c>
      <c r="C117" s="40">
        <v>7.0</v>
      </c>
      <c r="D117" s="40">
        <v>5.0</v>
      </c>
      <c r="E117" s="40">
        <v>13.0</v>
      </c>
      <c r="F117" s="40">
        <v>1402.0</v>
      </c>
      <c r="G117" s="40">
        <v>1703.0</v>
      </c>
      <c r="H117" s="40">
        <v>994.0</v>
      </c>
      <c r="I117" s="40">
        <v>18.0</v>
      </c>
      <c r="J117" s="40">
        <v>4664.0</v>
      </c>
      <c r="K117" s="40">
        <v>27.0</v>
      </c>
      <c r="L117" s="40">
        <v>10.0</v>
      </c>
      <c r="M117" s="40">
        <v>40.0</v>
      </c>
      <c r="N117" s="40">
        <v>112.0</v>
      </c>
      <c r="O117" s="40">
        <v>378.0</v>
      </c>
      <c r="P117" s="40">
        <v>2.0</v>
      </c>
      <c r="Q117" s="40">
        <v>15.0</v>
      </c>
      <c r="R117" s="41">
        <f t="shared" si="18"/>
        <v>9390</v>
      </c>
      <c r="S117" s="18"/>
      <c r="T117" s="18"/>
      <c r="U117" s="18"/>
      <c r="V117" s="18"/>
      <c r="W117" s="18"/>
      <c r="X117" s="18"/>
      <c r="Y117" s="18"/>
    </row>
    <row r="118">
      <c r="A118" s="18"/>
      <c r="B118" s="32" t="s">
        <v>18</v>
      </c>
      <c r="C118" s="40">
        <v>16.0</v>
      </c>
      <c r="D118" s="40">
        <v>3.0</v>
      </c>
      <c r="E118" s="40">
        <v>13.0</v>
      </c>
      <c r="F118" s="40">
        <v>1342.0</v>
      </c>
      <c r="G118" s="40">
        <v>1763.0</v>
      </c>
      <c r="H118" s="40">
        <v>326.0</v>
      </c>
      <c r="I118" s="40">
        <v>13.0</v>
      </c>
      <c r="J118" s="40">
        <v>5252.0</v>
      </c>
      <c r="K118" s="40">
        <v>19.0</v>
      </c>
      <c r="L118" s="40">
        <v>11.0</v>
      </c>
      <c r="M118" s="40">
        <v>24.0</v>
      </c>
      <c r="N118" s="40">
        <v>59.0</v>
      </c>
      <c r="O118" s="40">
        <v>334.0</v>
      </c>
      <c r="P118" s="40">
        <v>1.0</v>
      </c>
      <c r="Q118" s="40">
        <v>16.0</v>
      </c>
      <c r="R118" s="41">
        <f t="shared" si="18"/>
        <v>9192</v>
      </c>
      <c r="S118" s="18"/>
      <c r="T118" s="18"/>
      <c r="U118" s="18"/>
      <c r="V118" s="18"/>
      <c r="W118" s="18"/>
      <c r="X118" s="18"/>
      <c r="Y118" s="18"/>
    </row>
    <row r="119">
      <c r="A119" s="18"/>
      <c r="B119" s="32" t="s">
        <v>19</v>
      </c>
      <c r="C119" s="40">
        <v>6.0</v>
      </c>
      <c r="D119" s="40">
        <v>4.0</v>
      </c>
      <c r="E119" s="40">
        <v>23.0</v>
      </c>
      <c r="F119" s="40">
        <v>1168.0</v>
      </c>
      <c r="G119" s="40">
        <v>1499.0</v>
      </c>
      <c r="H119" s="40">
        <v>629.0</v>
      </c>
      <c r="I119" s="40">
        <v>13.0</v>
      </c>
      <c r="J119" s="40">
        <v>4550.0</v>
      </c>
      <c r="K119" s="40">
        <v>18.0</v>
      </c>
      <c r="L119" s="40">
        <v>9.0</v>
      </c>
      <c r="M119" s="40">
        <v>21.0</v>
      </c>
      <c r="N119" s="40">
        <v>57.0</v>
      </c>
      <c r="O119" s="40">
        <v>626.0</v>
      </c>
      <c r="P119" s="40">
        <v>3.0</v>
      </c>
      <c r="Q119" s="40">
        <v>23.0</v>
      </c>
      <c r="R119" s="41">
        <f t="shared" si="18"/>
        <v>8649</v>
      </c>
      <c r="S119" s="18"/>
      <c r="T119" s="18"/>
      <c r="U119" s="18"/>
      <c r="V119" s="18"/>
      <c r="W119" s="18"/>
      <c r="X119" s="18"/>
      <c r="Y119" s="18"/>
    </row>
    <row r="120">
      <c r="A120" s="18"/>
      <c r="B120" s="32" t="s">
        <v>20</v>
      </c>
      <c r="C120" s="40">
        <v>11.0</v>
      </c>
      <c r="D120" s="40">
        <v>2.0</v>
      </c>
      <c r="E120" s="40">
        <v>18.0</v>
      </c>
      <c r="F120" s="40">
        <v>1993.0</v>
      </c>
      <c r="G120" s="40">
        <v>2736.0</v>
      </c>
      <c r="H120" s="40">
        <v>860.0</v>
      </c>
      <c r="I120" s="40">
        <v>43.0</v>
      </c>
      <c r="J120" s="40">
        <v>7095.0</v>
      </c>
      <c r="K120" s="40">
        <v>51.0</v>
      </c>
      <c r="L120" s="40">
        <v>15.0</v>
      </c>
      <c r="M120" s="40">
        <v>24.0</v>
      </c>
      <c r="N120" s="40">
        <v>86.0</v>
      </c>
      <c r="O120" s="40">
        <v>434.0</v>
      </c>
      <c r="P120" s="40">
        <v>4.0</v>
      </c>
      <c r="Q120" s="40">
        <v>15.0</v>
      </c>
      <c r="R120" s="41">
        <f t="shared" si="18"/>
        <v>13387</v>
      </c>
      <c r="S120" s="18"/>
      <c r="T120" s="18"/>
      <c r="U120" s="18"/>
      <c r="V120" s="18"/>
      <c r="W120" s="18"/>
      <c r="X120" s="18"/>
      <c r="Y120" s="18"/>
    </row>
    <row r="121">
      <c r="A121" s="18"/>
      <c r="B121" s="32" t="s">
        <v>21</v>
      </c>
      <c r="C121" s="40">
        <v>7.0</v>
      </c>
      <c r="D121" s="40">
        <v>2.0</v>
      </c>
      <c r="E121" s="40">
        <v>10.0</v>
      </c>
      <c r="F121" s="40">
        <v>1305.0</v>
      </c>
      <c r="G121" s="40">
        <v>1820.0</v>
      </c>
      <c r="H121" s="40">
        <v>225.0</v>
      </c>
      <c r="I121" s="40">
        <v>26.0</v>
      </c>
      <c r="J121" s="40">
        <v>4464.0</v>
      </c>
      <c r="K121" s="40">
        <v>23.0</v>
      </c>
      <c r="L121" s="40">
        <v>6.0</v>
      </c>
      <c r="M121" s="40">
        <v>15.0</v>
      </c>
      <c r="N121" s="40">
        <v>45.0</v>
      </c>
      <c r="O121" s="40">
        <v>177.0</v>
      </c>
      <c r="P121" s="40">
        <v>3.0</v>
      </c>
      <c r="Q121" s="40">
        <v>13.0</v>
      </c>
      <c r="R121" s="41">
        <f t="shared" si="18"/>
        <v>8141</v>
      </c>
      <c r="S121" s="18"/>
      <c r="T121" s="18"/>
      <c r="U121" s="18"/>
      <c r="V121" s="18"/>
      <c r="W121" s="18"/>
      <c r="X121" s="18"/>
      <c r="Y121" s="18"/>
    </row>
    <row r="122">
      <c r="A122" s="18"/>
      <c r="B122" s="26" t="s">
        <v>22</v>
      </c>
      <c r="C122" s="24">
        <f t="shared" ref="C122:Q122" si="19">SUM(C110:C121)</f>
        <v>97</v>
      </c>
      <c r="D122" s="24">
        <f t="shared" si="19"/>
        <v>38</v>
      </c>
      <c r="E122" s="24">
        <f t="shared" si="19"/>
        <v>148</v>
      </c>
      <c r="F122" s="24">
        <f t="shared" si="19"/>
        <v>15932</v>
      </c>
      <c r="G122" s="24">
        <f t="shared" si="19"/>
        <v>20127</v>
      </c>
      <c r="H122" s="24">
        <f t="shared" si="19"/>
        <v>5555</v>
      </c>
      <c r="I122" s="24">
        <f t="shared" si="19"/>
        <v>277</v>
      </c>
      <c r="J122" s="24">
        <f t="shared" si="19"/>
        <v>56117</v>
      </c>
      <c r="K122" s="24">
        <f t="shared" si="19"/>
        <v>346</v>
      </c>
      <c r="L122" s="24">
        <f t="shared" si="19"/>
        <v>297</v>
      </c>
      <c r="M122" s="24">
        <f t="shared" si="19"/>
        <v>335</v>
      </c>
      <c r="N122" s="24">
        <f t="shared" si="19"/>
        <v>837</v>
      </c>
      <c r="O122" s="24">
        <f t="shared" si="19"/>
        <v>4474</v>
      </c>
      <c r="P122" s="24">
        <f t="shared" si="19"/>
        <v>32</v>
      </c>
      <c r="Q122" s="24">
        <f t="shared" si="19"/>
        <v>200</v>
      </c>
      <c r="R122" s="41">
        <f t="shared" si="18"/>
        <v>104812</v>
      </c>
      <c r="S122" s="18"/>
      <c r="T122" s="18"/>
      <c r="U122" s="18"/>
      <c r="V122" s="18"/>
      <c r="W122" s="18"/>
      <c r="X122" s="18"/>
      <c r="Y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2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2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>
      <c r="A125" s="18"/>
      <c r="B125" s="29" t="s">
        <v>88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7"/>
      <c r="R125" s="18"/>
      <c r="S125" s="18"/>
      <c r="T125" s="18"/>
      <c r="U125" s="18"/>
      <c r="V125" s="18"/>
      <c r="W125" s="18"/>
      <c r="X125" s="18"/>
      <c r="Y125" s="18"/>
    </row>
    <row r="126">
      <c r="A126" s="18"/>
      <c r="B126" s="19" t="s">
        <v>38</v>
      </c>
      <c r="C126" s="20" t="s">
        <v>73</v>
      </c>
      <c r="D126" s="20" t="s">
        <v>74</v>
      </c>
      <c r="E126" s="20" t="s">
        <v>75</v>
      </c>
      <c r="F126" s="20" t="s">
        <v>76</v>
      </c>
      <c r="G126" s="20" t="s">
        <v>77</v>
      </c>
      <c r="H126" s="20" t="s">
        <v>78</v>
      </c>
      <c r="I126" s="20" t="s">
        <v>79</v>
      </c>
      <c r="J126" s="20" t="s">
        <v>80</v>
      </c>
      <c r="K126" s="20" t="s">
        <v>81</v>
      </c>
      <c r="L126" s="20" t="s">
        <v>82</v>
      </c>
      <c r="M126" s="20" t="s">
        <v>83</v>
      </c>
      <c r="N126" s="20" t="s">
        <v>84</v>
      </c>
      <c r="O126" s="20" t="s">
        <v>85</v>
      </c>
      <c r="P126" s="20" t="s">
        <v>86</v>
      </c>
      <c r="Q126" s="42" t="s">
        <v>22</v>
      </c>
      <c r="R126" s="18"/>
      <c r="S126" s="18"/>
      <c r="T126" s="18"/>
      <c r="U126" s="18"/>
      <c r="V126" s="18"/>
      <c r="W126" s="18"/>
      <c r="X126" s="18"/>
      <c r="Y126" s="18"/>
    </row>
    <row r="127">
      <c r="A127" s="18"/>
      <c r="B127" s="32" t="s">
        <v>10</v>
      </c>
      <c r="C127" s="40">
        <v>310.0</v>
      </c>
      <c r="D127" s="40">
        <v>409.0</v>
      </c>
      <c r="E127" s="40">
        <v>1.0</v>
      </c>
      <c r="F127" s="40">
        <v>9.0</v>
      </c>
      <c r="G127" s="40">
        <v>1388.0</v>
      </c>
      <c r="H127" s="40">
        <v>8.0</v>
      </c>
      <c r="I127" s="40">
        <v>337.0</v>
      </c>
      <c r="J127" s="40">
        <v>8.0</v>
      </c>
      <c r="K127" s="40">
        <v>1.0</v>
      </c>
      <c r="L127" s="40">
        <v>4.0</v>
      </c>
      <c r="M127" s="40">
        <v>7.0</v>
      </c>
      <c r="N127" s="40">
        <v>6.0</v>
      </c>
      <c r="O127" s="40">
        <v>3.0</v>
      </c>
      <c r="P127" s="40">
        <v>0.0</v>
      </c>
      <c r="Q127" s="43">
        <v>1689.0</v>
      </c>
      <c r="R127" s="18"/>
      <c r="S127" s="18"/>
      <c r="T127" s="18"/>
      <c r="U127" s="18"/>
      <c r="V127" s="18"/>
      <c r="W127" s="18"/>
      <c r="X127" s="18"/>
      <c r="Y127" s="18"/>
    </row>
    <row r="128">
      <c r="A128" s="18"/>
      <c r="B128" s="32" t="s">
        <v>11</v>
      </c>
      <c r="C128" s="40">
        <v>187.0</v>
      </c>
      <c r="D128" s="40">
        <v>299.0</v>
      </c>
      <c r="E128" s="40">
        <v>11.0</v>
      </c>
      <c r="F128" s="40">
        <v>43.0</v>
      </c>
      <c r="G128" s="40">
        <v>1419.0</v>
      </c>
      <c r="H128" s="40">
        <v>18.0</v>
      </c>
      <c r="I128" s="40">
        <v>381.0</v>
      </c>
      <c r="J128" s="40">
        <v>3.0</v>
      </c>
      <c r="K128" s="40">
        <v>3.0</v>
      </c>
      <c r="L128" s="40">
        <v>4.0</v>
      </c>
      <c r="M128" s="40">
        <v>4.0</v>
      </c>
      <c r="N128" s="40">
        <v>1.0</v>
      </c>
      <c r="O128" s="40">
        <v>22.0</v>
      </c>
      <c r="P128" s="40">
        <v>0.0</v>
      </c>
      <c r="Q128" s="43">
        <v>1298.0</v>
      </c>
      <c r="R128" s="18"/>
      <c r="S128" s="18"/>
      <c r="T128" s="18"/>
      <c r="U128" s="18"/>
      <c r="V128" s="18"/>
      <c r="W128" s="18"/>
      <c r="X128" s="18"/>
      <c r="Y128" s="18"/>
    </row>
    <row r="129">
      <c r="A129" s="18"/>
      <c r="B129" s="32" t="s">
        <v>12</v>
      </c>
      <c r="C129" s="40">
        <v>119.0</v>
      </c>
      <c r="D129" s="40">
        <v>230.0</v>
      </c>
      <c r="E129" s="40">
        <v>6.0</v>
      </c>
      <c r="F129" s="40">
        <v>2.0</v>
      </c>
      <c r="G129" s="40">
        <v>1002.0</v>
      </c>
      <c r="H129" s="40">
        <v>7.0</v>
      </c>
      <c r="I129" s="40">
        <v>268.0</v>
      </c>
      <c r="J129" s="40">
        <v>7.0</v>
      </c>
      <c r="K129" s="40">
        <v>2.0</v>
      </c>
      <c r="L129" s="40">
        <v>3.0</v>
      </c>
      <c r="M129" s="40">
        <v>16.0</v>
      </c>
      <c r="N129" s="40">
        <v>0.0</v>
      </c>
      <c r="O129" s="40">
        <v>32.0</v>
      </c>
      <c r="P129" s="40">
        <v>0.0</v>
      </c>
      <c r="Q129" s="43">
        <v>1090.0</v>
      </c>
      <c r="R129" s="18"/>
      <c r="S129" s="18"/>
      <c r="T129" s="18"/>
      <c r="U129" s="18"/>
      <c r="V129" s="18"/>
      <c r="W129" s="18"/>
      <c r="X129" s="18"/>
      <c r="Y129" s="18"/>
    </row>
    <row r="130">
      <c r="A130" s="18"/>
      <c r="B130" s="32" t="s">
        <v>13</v>
      </c>
      <c r="C130" s="40">
        <v>373.0</v>
      </c>
      <c r="D130" s="40">
        <v>526.0</v>
      </c>
      <c r="E130" s="40">
        <v>11.0</v>
      </c>
      <c r="F130" s="40">
        <v>5.0</v>
      </c>
      <c r="G130" s="40">
        <v>2289.0</v>
      </c>
      <c r="H130" s="40">
        <v>4.0</v>
      </c>
      <c r="I130" s="40">
        <v>614.0</v>
      </c>
      <c r="J130" s="40">
        <v>5.0</v>
      </c>
      <c r="K130" s="40">
        <v>4.0</v>
      </c>
      <c r="L130" s="40">
        <v>7.0</v>
      </c>
      <c r="M130" s="40">
        <v>3.0</v>
      </c>
      <c r="N130" s="40">
        <v>0.0</v>
      </c>
      <c r="O130" s="40">
        <v>26.0</v>
      </c>
      <c r="P130" s="40">
        <v>0.0</v>
      </c>
      <c r="Q130" s="43">
        <v>2360.0</v>
      </c>
      <c r="R130" s="18"/>
      <c r="S130" s="18"/>
      <c r="T130" s="18"/>
      <c r="U130" s="18"/>
      <c r="V130" s="18"/>
      <c r="W130" s="18"/>
      <c r="X130" s="18"/>
      <c r="Y130" s="18"/>
    </row>
    <row r="131">
      <c r="A131" s="18"/>
      <c r="B131" s="32" t="s">
        <v>14</v>
      </c>
      <c r="C131" s="40">
        <v>307.0</v>
      </c>
      <c r="D131" s="40">
        <v>447.0</v>
      </c>
      <c r="E131" s="40">
        <v>4.0</v>
      </c>
      <c r="F131" s="40">
        <v>100.0</v>
      </c>
      <c r="G131" s="40">
        <v>1769.0</v>
      </c>
      <c r="H131" s="40">
        <v>20.0</v>
      </c>
      <c r="I131" s="40">
        <v>560.0</v>
      </c>
      <c r="J131" s="40">
        <v>12.0</v>
      </c>
      <c r="K131" s="40">
        <v>5.0</v>
      </c>
      <c r="L131" s="40">
        <v>8.0</v>
      </c>
      <c r="M131" s="40">
        <v>19.0</v>
      </c>
      <c r="N131" s="40">
        <v>5.0</v>
      </c>
      <c r="O131" s="40">
        <v>17.0</v>
      </c>
      <c r="P131" s="40">
        <v>0.0</v>
      </c>
      <c r="Q131" s="43">
        <v>2204.0</v>
      </c>
      <c r="R131" s="18"/>
      <c r="S131" s="18"/>
      <c r="T131" s="18"/>
      <c r="U131" s="18"/>
      <c r="V131" s="18"/>
      <c r="W131" s="18"/>
      <c r="X131" s="18"/>
      <c r="Y131" s="18"/>
    </row>
    <row r="132">
      <c r="A132" s="18"/>
      <c r="B132" s="32" t="s">
        <v>15</v>
      </c>
      <c r="C132" s="40">
        <v>858.0</v>
      </c>
      <c r="D132" s="40">
        <v>1150.0</v>
      </c>
      <c r="E132" s="40">
        <v>19.0</v>
      </c>
      <c r="F132" s="40">
        <v>22.0</v>
      </c>
      <c r="G132" s="40">
        <v>4791.0</v>
      </c>
      <c r="H132" s="40">
        <v>83.0</v>
      </c>
      <c r="I132" s="40">
        <v>1368.0</v>
      </c>
      <c r="J132" s="40">
        <v>40.0</v>
      </c>
      <c r="K132" s="40">
        <v>4.0</v>
      </c>
      <c r="L132" s="40">
        <v>14.0</v>
      </c>
      <c r="M132" s="40">
        <v>44.0</v>
      </c>
      <c r="N132" s="40">
        <v>4.0</v>
      </c>
      <c r="O132" s="40">
        <v>179.0</v>
      </c>
      <c r="P132" s="40">
        <v>0.0</v>
      </c>
      <c r="Q132" s="43">
        <v>5462.0</v>
      </c>
      <c r="R132" s="18"/>
      <c r="S132" s="18"/>
      <c r="T132" s="18"/>
      <c r="U132" s="18"/>
      <c r="V132" s="18"/>
      <c r="W132" s="18"/>
      <c r="X132" s="18"/>
      <c r="Y132" s="18"/>
    </row>
    <row r="133">
      <c r="A133" s="18"/>
      <c r="B133" s="32" t="s">
        <v>16</v>
      </c>
      <c r="C133" s="40">
        <v>378.0</v>
      </c>
      <c r="D133" s="40">
        <v>504.0</v>
      </c>
      <c r="E133" s="40">
        <v>14.0</v>
      </c>
      <c r="F133" s="40">
        <v>59.0</v>
      </c>
      <c r="G133" s="40">
        <v>2034.0</v>
      </c>
      <c r="H133" s="40">
        <v>29.0</v>
      </c>
      <c r="I133" s="40">
        <v>585.0</v>
      </c>
      <c r="J133" s="40">
        <v>5.0</v>
      </c>
      <c r="K133" s="40">
        <v>0.0</v>
      </c>
      <c r="L133" s="40">
        <v>3.0</v>
      </c>
      <c r="M133" s="40">
        <v>24.0</v>
      </c>
      <c r="N133" s="40">
        <v>5.0</v>
      </c>
      <c r="O133" s="40">
        <v>42.0</v>
      </c>
      <c r="P133" s="40">
        <v>0.0</v>
      </c>
      <c r="Q133" s="43">
        <v>5462.0</v>
      </c>
      <c r="R133" s="18"/>
      <c r="S133" s="18"/>
      <c r="T133" s="18"/>
      <c r="U133" s="18"/>
      <c r="V133" s="18"/>
      <c r="W133" s="18"/>
      <c r="X133" s="18"/>
      <c r="Y133" s="18"/>
    </row>
    <row r="134">
      <c r="A134" s="18"/>
      <c r="B134" s="32" t="s">
        <v>17</v>
      </c>
      <c r="C134" s="40">
        <v>893.0</v>
      </c>
      <c r="D134" s="40">
        <v>1257.0</v>
      </c>
      <c r="E134" s="40">
        <v>24.0</v>
      </c>
      <c r="F134" s="40">
        <v>27.0</v>
      </c>
      <c r="G134" s="40">
        <v>5113.0</v>
      </c>
      <c r="H134" s="40">
        <v>57.0</v>
      </c>
      <c r="I134" s="40">
        <v>1398.0</v>
      </c>
      <c r="J134" s="40">
        <v>12.0</v>
      </c>
      <c r="K134" s="40">
        <v>5.0</v>
      </c>
      <c r="L134" s="40">
        <v>11.0</v>
      </c>
      <c r="M134" s="40">
        <v>35.0</v>
      </c>
      <c r="N134" s="40">
        <v>19.0</v>
      </c>
      <c r="O134" s="40">
        <v>48.0</v>
      </c>
      <c r="P134" s="40">
        <v>3.0</v>
      </c>
      <c r="Q134" s="43">
        <v>3810.0</v>
      </c>
      <c r="R134" s="18"/>
      <c r="S134" s="18"/>
      <c r="T134" s="18"/>
      <c r="U134" s="18"/>
      <c r="V134" s="18"/>
      <c r="W134" s="18"/>
      <c r="X134" s="18"/>
      <c r="Y134" s="18"/>
    </row>
    <row r="135">
      <c r="A135" s="18"/>
      <c r="B135" s="32" t="s">
        <v>18</v>
      </c>
      <c r="C135" s="40">
        <v>437.0</v>
      </c>
      <c r="D135" s="40">
        <v>760.0</v>
      </c>
      <c r="E135" s="40">
        <v>10.0</v>
      </c>
      <c r="F135" s="40">
        <v>7.0</v>
      </c>
      <c r="G135" s="40">
        <v>3219.0</v>
      </c>
      <c r="H135" s="40">
        <v>18.0</v>
      </c>
      <c r="I135" s="40">
        <v>779.0</v>
      </c>
      <c r="J135" s="40">
        <v>7.0</v>
      </c>
      <c r="K135" s="40">
        <v>1.0</v>
      </c>
      <c r="L135" s="40">
        <v>12.0</v>
      </c>
      <c r="M135" s="40">
        <v>30.0</v>
      </c>
      <c r="N135" s="40">
        <v>7.0</v>
      </c>
      <c r="O135" s="40">
        <v>38.0</v>
      </c>
      <c r="P135" s="40">
        <v>0.0</v>
      </c>
      <c r="Q135" s="43">
        <v>5462.0</v>
      </c>
      <c r="R135" s="18"/>
      <c r="S135" s="18"/>
      <c r="T135" s="18"/>
      <c r="U135" s="18"/>
      <c r="V135" s="18"/>
      <c r="W135" s="18"/>
      <c r="X135" s="18"/>
      <c r="Y135" s="18"/>
    </row>
    <row r="136">
      <c r="A136" s="18"/>
      <c r="B136" s="32" t="s">
        <v>19</v>
      </c>
      <c r="C136" s="40">
        <v>449.0</v>
      </c>
      <c r="D136" s="40">
        <v>813.0</v>
      </c>
      <c r="E136" s="40">
        <v>14.0</v>
      </c>
      <c r="F136" s="40">
        <v>7.0</v>
      </c>
      <c r="G136" s="40">
        <v>3349.0</v>
      </c>
      <c r="H136" s="40">
        <v>17.0</v>
      </c>
      <c r="I136" s="40">
        <v>877.0</v>
      </c>
      <c r="J136" s="40">
        <v>6.0</v>
      </c>
      <c r="K136" s="40">
        <v>3.0</v>
      </c>
      <c r="L136" s="40">
        <v>5.0</v>
      </c>
      <c r="M136" s="40">
        <v>27.0</v>
      </c>
      <c r="N136" s="40">
        <v>3.0</v>
      </c>
      <c r="O136" s="40">
        <v>34.0</v>
      </c>
      <c r="P136" s="40">
        <v>0.0</v>
      </c>
      <c r="Q136" s="43">
        <v>5462.0</v>
      </c>
      <c r="R136" s="18"/>
      <c r="S136" s="18"/>
      <c r="T136" s="18"/>
      <c r="U136" s="18"/>
      <c r="V136" s="18"/>
      <c r="W136" s="18"/>
      <c r="X136" s="18"/>
      <c r="Y136" s="18"/>
    </row>
    <row r="137">
      <c r="A137" s="18"/>
      <c r="B137" s="32" t="s">
        <v>20</v>
      </c>
      <c r="C137" s="40">
        <v>756.0</v>
      </c>
      <c r="D137" s="40">
        <v>1106.0</v>
      </c>
      <c r="E137" s="40">
        <v>21.0</v>
      </c>
      <c r="F137" s="40">
        <v>51.0</v>
      </c>
      <c r="G137" s="40">
        <v>4529.0</v>
      </c>
      <c r="H137" s="40">
        <v>37.0</v>
      </c>
      <c r="I137" s="40">
        <v>1163.0</v>
      </c>
      <c r="J137" s="40">
        <v>10.0</v>
      </c>
      <c r="K137" s="40">
        <v>3.0</v>
      </c>
      <c r="L137" s="40">
        <v>11.0</v>
      </c>
      <c r="M137" s="40">
        <v>36.0</v>
      </c>
      <c r="N137" s="40">
        <v>5.0</v>
      </c>
      <c r="O137" s="40">
        <v>75.0</v>
      </c>
      <c r="P137" s="40">
        <v>0.0</v>
      </c>
      <c r="Q137" s="43">
        <v>5462.0</v>
      </c>
      <c r="R137" s="18"/>
      <c r="S137" s="18"/>
      <c r="T137" s="18"/>
      <c r="U137" s="18"/>
      <c r="V137" s="18"/>
      <c r="W137" s="18"/>
      <c r="X137" s="18"/>
      <c r="Y137" s="18"/>
    </row>
    <row r="138">
      <c r="A138" s="18"/>
      <c r="B138" s="32" t="s">
        <v>21</v>
      </c>
      <c r="C138" s="40">
        <v>499.0</v>
      </c>
      <c r="D138" s="40">
        <v>670.0</v>
      </c>
      <c r="E138" s="40">
        <v>6.0</v>
      </c>
      <c r="F138" s="40">
        <v>3.0</v>
      </c>
      <c r="G138" s="40">
        <v>2950.0</v>
      </c>
      <c r="H138" s="40">
        <v>42.0</v>
      </c>
      <c r="I138" s="40">
        <v>808.0</v>
      </c>
      <c r="J138" s="40">
        <v>1.0</v>
      </c>
      <c r="K138" s="40">
        <v>0.0</v>
      </c>
      <c r="L138" s="40">
        <v>6.0</v>
      </c>
      <c r="M138" s="40">
        <v>12.0</v>
      </c>
      <c r="N138" s="40">
        <v>1.0</v>
      </c>
      <c r="O138" s="40">
        <v>26.0</v>
      </c>
      <c r="P138" s="40">
        <v>0.0</v>
      </c>
      <c r="Q138" s="43">
        <v>3105.0</v>
      </c>
      <c r="R138" s="18"/>
      <c r="S138" s="18"/>
      <c r="T138" s="18"/>
      <c r="U138" s="18"/>
      <c r="V138" s="18"/>
      <c r="W138" s="18"/>
      <c r="X138" s="18"/>
      <c r="Y138" s="18"/>
    </row>
    <row r="139">
      <c r="A139" s="18"/>
      <c r="B139" s="26" t="s">
        <v>22</v>
      </c>
      <c r="C139" s="24">
        <f t="shared" ref="C139:Q139" si="20">SUM(C127:C138)</f>
        <v>5566</v>
      </c>
      <c r="D139" s="24">
        <f t="shared" si="20"/>
        <v>8171</v>
      </c>
      <c r="E139" s="24">
        <f t="shared" si="20"/>
        <v>141</v>
      </c>
      <c r="F139" s="24">
        <f t="shared" si="20"/>
        <v>335</v>
      </c>
      <c r="G139" s="24">
        <f t="shared" si="20"/>
        <v>33852</v>
      </c>
      <c r="H139" s="24">
        <f t="shared" si="20"/>
        <v>340</v>
      </c>
      <c r="I139" s="24">
        <f t="shared" si="20"/>
        <v>9138</v>
      </c>
      <c r="J139" s="24">
        <f t="shared" si="20"/>
        <v>116</v>
      </c>
      <c r="K139" s="24">
        <f t="shared" si="20"/>
        <v>31</v>
      </c>
      <c r="L139" s="24">
        <f t="shared" si="20"/>
        <v>88</v>
      </c>
      <c r="M139" s="24">
        <f t="shared" si="20"/>
        <v>257</v>
      </c>
      <c r="N139" s="24">
        <f t="shared" si="20"/>
        <v>56</v>
      </c>
      <c r="O139" s="24">
        <f t="shared" si="20"/>
        <v>542</v>
      </c>
      <c r="P139" s="24">
        <f t="shared" si="20"/>
        <v>3</v>
      </c>
      <c r="Q139" s="41">
        <f t="shared" si="20"/>
        <v>42866</v>
      </c>
      <c r="R139" s="18"/>
      <c r="S139" s="18"/>
      <c r="T139" s="18"/>
      <c r="U139" s="18"/>
      <c r="V139" s="18"/>
      <c r="W139" s="18"/>
      <c r="X139" s="18"/>
      <c r="Y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2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>
      <c r="A141" s="18"/>
      <c r="B141" s="29" t="s">
        <v>89</v>
      </c>
      <c r="C141" s="16"/>
      <c r="D141" s="16"/>
      <c r="E141" s="16"/>
      <c r="F141" s="18"/>
      <c r="G141" s="18"/>
      <c r="H141" s="18"/>
      <c r="I141" s="18"/>
      <c r="J141" s="18"/>
      <c r="K141" s="2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>
      <c r="A142" s="18"/>
      <c r="B142" s="19" t="s">
        <v>38</v>
      </c>
      <c r="C142" s="35" t="s">
        <v>69</v>
      </c>
      <c r="D142" s="35" t="s">
        <v>70</v>
      </c>
      <c r="E142" s="21" t="s">
        <v>22</v>
      </c>
      <c r="F142" s="18"/>
      <c r="G142" s="18"/>
      <c r="H142" s="18"/>
      <c r="I142" s="18"/>
      <c r="J142" s="18"/>
      <c r="K142" s="2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>
      <c r="A143" s="18"/>
      <c r="B143" s="32" t="s">
        <v>10</v>
      </c>
      <c r="C143" s="40">
        <v>1581.0</v>
      </c>
      <c r="D143" s="40">
        <v>2348.0</v>
      </c>
      <c r="E143" s="24">
        <f t="shared" ref="E143:E155" si="21">SUM(C143:D143)</f>
        <v>3929</v>
      </c>
      <c r="F143" s="18"/>
      <c r="G143" s="18"/>
      <c r="H143" s="18"/>
      <c r="I143" s="18"/>
      <c r="J143" s="18"/>
      <c r="K143" s="2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>
      <c r="A144" s="18"/>
      <c r="B144" s="32" t="s">
        <v>11</v>
      </c>
      <c r="C144" s="40">
        <v>2279.0</v>
      </c>
      <c r="D144" s="40">
        <v>2602.0</v>
      </c>
      <c r="E144" s="24">
        <f t="shared" si="21"/>
        <v>4881</v>
      </c>
      <c r="F144" s="18"/>
      <c r="G144" s="18"/>
      <c r="H144" s="18"/>
      <c r="I144" s="18"/>
      <c r="J144" s="18"/>
      <c r="K144" s="2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>
      <c r="A145" s="18"/>
      <c r="B145" s="32" t="s">
        <v>12</v>
      </c>
      <c r="C145" s="40">
        <v>1187.0</v>
      </c>
      <c r="D145" s="40">
        <v>2113.0</v>
      </c>
      <c r="E145" s="24">
        <f t="shared" si="21"/>
        <v>3300</v>
      </c>
      <c r="F145" s="18"/>
      <c r="G145" s="18"/>
      <c r="H145" s="18"/>
      <c r="I145" s="18"/>
      <c r="J145" s="18"/>
      <c r="K145" s="2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>
      <c r="A146" s="18"/>
      <c r="B146" s="32" t="s">
        <v>13</v>
      </c>
      <c r="C146" s="40">
        <v>3212.0</v>
      </c>
      <c r="D146" s="40">
        <v>3431.0</v>
      </c>
      <c r="E146" s="24">
        <f t="shared" si="21"/>
        <v>6643</v>
      </c>
      <c r="F146" s="18"/>
      <c r="G146" s="18"/>
      <c r="H146" s="18"/>
      <c r="I146" s="18"/>
      <c r="J146" s="18"/>
      <c r="K146" s="2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>
      <c r="A147" s="18"/>
      <c r="B147" s="32" t="s">
        <v>14</v>
      </c>
      <c r="C147" s="40">
        <v>2023.0</v>
      </c>
      <c r="D147" s="40">
        <v>2902.0</v>
      </c>
      <c r="E147" s="24">
        <f t="shared" si="21"/>
        <v>4925</v>
      </c>
      <c r="F147" s="18"/>
      <c r="G147" s="18"/>
      <c r="H147" s="18"/>
      <c r="I147" s="18"/>
      <c r="J147" s="18"/>
      <c r="K147" s="2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>
      <c r="A148" s="18"/>
      <c r="B148" s="32" t="s">
        <v>15</v>
      </c>
      <c r="C148" s="40">
        <v>7166.0</v>
      </c>
      <c r="D148" s="40">
        <v>10874.0</v>
      </c>
      <c r="E148" s="24">
        <f t="shared" si="21"/>
        <v>18040</v>
      </c>
      <c r="F148" s="18"/>
      <c r="G148" s="18"/>
      <c r="H148" s="18"/>
      <c r="I148" s="18"/>
      <c r="J148" s="18"/>
      <c r="K148" s="2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>
      <c r="A149" s="18"/>
      <c r="B149" s="32" t="s">
        <v>16</v>
      </c>
      <c r="C149" s="40">
        <v>7322.0</v>
      </c>
      <c r="D149" s="40">
        <v>11847.0</v>
      </c>
      <c r="E149" s="24">
        <f t="shared" si="21"/>
        <v>19169</v>
      </c>
      <c r="F149" s="18"/>
      <c r="G149" s="18"/>
      <c r="H149" s="18"/>
      <c r="I149" s="18"/>
      <c r="J149" s="18"/>
      <c r="K149" s="2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>
      <c r="A150" s="18"/>
      <c r="B150" s="32" t="s">
        <v>17</v>
      </c>
      <c r="C150" s="40">
        <v>4524.0</v>
      </c>
      <c r="D150" s="40">
        <v>5660.0</v>
      </c>
      <c r="E150" s="24">
        <f t="shared" si="21"/>
        <v>10184</v>
      </c>
      <c r="F150" s="18"/>
      <c r="G150" s="18"/>
      <c r="H150" s="18"/>
      <c r="I150" s="18"/>
      <c r="J150" s="18"/>
      <c r="K150" s="2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>
      <c r="A151" s="18"/>
      <c r="B151" s="32" t="s">
        <v>18</v>
      </c>
      <c r="C151" s="40">
        <v>4581.0</v>
      </c>
      <c r="D151" s="40">
        <v>5319.0</v>
      </c>
      <c r="E151" s="24">
        <f t="shared" si="21"/>
        <v>9900</v>
      </c>
      <c r="F151" s="18"/>
      <c r="G151" s="18"/>
      <c r="H151" s="18"/>
      <c r="I151" s="18"/>
      <c r="J151" s="18"/>
      <c r="K151" s="2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>
      <c r="A152" s="18"/>
      <c r="B152" s="32" t="s">
        <v>19</v>
      </c>
      <c r="C152" s="40">
        <v>3889.0</v>
      </c>
      <c r="D152" s="40">
        <v>5442.0</v>
      </c>
      <c r="E152" s="24">
        <f t="shared" si="21"/>
        <v>9331</v>
      </c>
      <c r="F152" s="18"/>
      <c r="G152" s="18"/>
      <c r="H152" s="18"/>
      <c r="I152" s="18"/>
      <c r="J152" s="18"/>
      <c r="K152" s="2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>
      <c r="A153" s="18"/>
      <c r="B153" s="32" t="s">
        <v>20</v>
      </c>
      <c r="C153" s="40">
        <v>5677.0</v>
      </c>
      <c r="D153" s="40">
        <v>8834.0</v>
      </c>
      <c r="E153" s="24">
        <f t="shared" si="21"/>
        <v>14511</v>
      </c>
      <c r="F153" s="18"/>
      <c r="G153" s="18"/>
      <c r="H153" s="18"/>
      <c r="I153" s="18"/>
      <c r="J153" s="18"/>
      <c r="K153" s="2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>
      <c r="A154" s="18"/>
      <c r="B154" s="32" t="s">
        <v>21</v>
      </c>
      <c r="C154" s="40">
        <v>4239.0</v>
      </c>
      <c r="D154" s="40">
        <v>4659.0</v>
      </c>
      <c r="E154" s="24">
        <f t="shared" si="21"/>
        <v>8898</v>
      </c>
      <c r="F154" s="18"/>
      <c r="G154" s="18"/>
      <c r="H154" s="18"/>
      <c r="I154" s="18"/>
      <c r="J154" s="18"/>
      <c r="K154" s="2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>
      <c r="A155" s="18"/>
      <c r="B155" s="26" t="s">
        <v>22</v>
      </c>
      <c r="C155" s="24">
        <f t="shared" ref="C155:D155" si="22">SUM(C143:C154)</f>
        <v>47680</v>
      </c>
      <c r="D155" s="24">
        <f t="shared" si="22"/>
        <v>66031</v>
      </c>
      <c r="E155" s="24">
        <f t="shared" si="21"/>
        <v>113711</v>
      </c>
      <c r="F155" s="18"/>
      <c r="G155" s="18"/>
      <c r="H155" s="18"/>
      <c r="I155" s="18"/>
      <c r="J155" s="18"/>
      <c r="K155" s="2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2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2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>
      <c r="A158" s="18"/>
      <c r="B158" s="19" t="s">
        <v>38</v>
      </c>
      <c r="C158" s="20" t="s">
        <v>90</v>
      </c>
      <c r="D158" s="20" t="s">
        <v>91</v>
      </c>
      <c r="E158" s="20" t="s">
        <v>92</v>
      </c>
      <c r="F158" s="20" t="s">
        <v>93</v>
      </c>
      <c r="G158" s="20" t="s">
        <v>94</v>
      </c>
      <c r="H158" s="20" t="s">
        <v>95</v>
      </c>
      <c r="I158" s="20" t="s">
        <v>96</v>
      </c>
      <c r="J158" s="20" t="s">
        <v>97</v>
      </c>
      <c r="K158" s="20" t="s">
        <v>98</v>
      </c>
      <c r="L158" s="20" t="s">
        <v>99</v>
      </c>
      <c r="M158" s="20" t="s">
        <v>100</v>
      </c>
      <c r="N158" s="44" t="s">
        <v>22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>
      <c r="A159" s="18"/>
      <c r="B159" s="32" t="s">
        <v>10</v>
      </c>
      <c r="C159" s="40">
        <v>381.0</v>
      </c>
      <c r="D159" s="40">
        <v>0.0</v>
      </c>
      <c r="E159" s="40">
        <v>5.0</v>
      </c>
      <c r="F159" s="40">
        <v>1129.0</v>
      </c>
      <c r="G159" s="40">
        <v>4.0</v>
      </c>
      <c r="H159" s="40">
        <v>21.0</v>
      </c>
      <c r="I159" s="40">
        <v>1.0</v>
      </c>
      <c r="J159" s="40">
        <v>11.0</v>
      </c>
      <c r="K159" s="40">
        <v>1.0</v>
      </c>
      <c r="L159" s="40">
        <v>0.0</v>
      </c>
      <c r="M159" s="40">
        <v>28.0</v>
      </c>
      <c r="N159" s="24">
        <f t="shared" ref="N159:N171" si="23">SUM(C159:M159)</f>
        <v>1581</v>
      </c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>
      <c r="A160" s="18"/>
      <c r="B160" s="32" t="s">
        <v>11</v>
      </c>
      <c r="C160" s="40">
        <v>676.0</v>
      </c>
      <c r="D160" s="40">
        <v>4.0</v>
      </c>
      <c r="E160" s="40">
        <v>9.0</v>
      </c>
      <c r="F160" s="40">
        <v>1505.0</v>
      </c>
      <c r="G160" s="40">
        <v>2.0</v>
      </c>
      <c r="H160" s="40">
        <v>25.0</v>
      </c>
      <c r="I160" s="40">
        <v>0.0</v>
      </c>
      <c r="J160" s="40">
        <v>23.0</v>
      </c>
      <c r="K160" s="40">
        <v>0.0</v>
      </c>
      <c r="L160" s="40">
        <v>2.0</v>
      </c>
      <c r="M160" s="40">
        <v>33.0</v>
      </c>
      <c r="N160" s="24">
        <f t="shared" si="23"/>
        <v>2279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>
      <c r="A161" s="18"/>
      <c r="B161" s="32" t="s">
        <v>12</v>
      </c>
      <c r="C161" s="40">
        <v>352.0</v>
      </c>
      <c r="D161" s="40">
        <v>0.0</v>
      </c>
      <c r="E161" s="40">
        <v>7.0</v>
      </c>
      <c r="F161" s="40">
        <v>771.0</v>
      </c>
      <c r="G161" s="40">
        <v>3.0</v>
      </c>
      <c r="H161" s="40">
        <v>29.0</v>
      </c>
      <c r="I161" s="40">
        <v>0.0</v>
      </c>
      <c r="J161" s="40">
        <v>5.0</v>
      </c>
      <c r="K161" s="40">
        <v>1.0</v>
      </c>
      <c r="L161" s="40">
        <v>3.0</v>
      </c>
      <c r="M161" s="40">
        <v>16.0</v>
      </c>
      <c r="N161" s="24">
        <f t="shared" si="23"/>
        <v>1187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>
      <c r="A162" s="18"/>
      <c r="B162" s="32" t="s">
        <v>13</v>
      </c>
      <c r="C162" s="40">
        <v>1178.0</v>
      </c>
      <c r="D162" s="40">
        <v>2.0</v>
      </c>
      <c r="E162" s="40">
        <v>54.0</v>
      </c>
      <c r="F162" s="40">
        <v>1847.0</v>
      </c>
      <c r="G162" s="40">
        <v>4.0</v>
      </c>
      <c r="H162" s="40">
        <v>60.0</v>
      </c>
      <c r="I162" s="40">
        <v>0.0</v>
      </c>
      <c r="J162" s="40">
        <v>24.0</v>
      </c>
      <c r="K162" s="40">
        <v>9.0</v>
      </c>
      <c r="L162" s="40">
        <v>1.0</v>
      </c>
      <c r="M162" s="40">
        <v>33.0</v>
      </c>
      <c r="N162" s="24">
        <f t="shared" si="23"/>
        <v>3212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>
      <c r="A163" s="18"/>
      <c r="B163" s="32" t="s">
        <v>14</v>
      </c>
      <c r="C163" s="40">
        <v>520.0</v>
      </c>
      <c r="D163" s="40">
        <v>3.0</v>
      </c>
      <c r="E163" s="40">
        <v>2.0</v>
      </c>
      <c r="F163" s="40">
        <v>1399.0</v>
      </c>
      <c r="G163" s="40">
        <v>4.0</v>
      </c>
      <c r="H163" s="40">
        <v>40.0</v>
      </c>
      <c r="I163" s="40">
        <v>0.0</v>
      </c>
      <c r="J163" s="40">
        <v>21.0</v>
      </c>
      <c r="K163" s="40">
        <v>0.0</v>
      </c>
      <c r="L163" s="40">
        <v>5.0</v>
      </c>
      <c r="M163" s="40">
        <v>29.0</v>
      </c>
      <c r="N163" s="24">
        <f t="shared" si="23"/>
        <v>2023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>
      <c r="A164" s="18"/>
      <c r="B164" s="32" t="s">
        <v>15</v>
      </c>
      <c r="C164" s="40">
        <v>2610.0</v>
      </c>
      <c r="D164" s="40">
        <v>1.0</v>
      </c>
      <c r="E164" s="40">
        <v>33.0</v>
      </c>
      <c r="F164" s="40">
        <v>4198.0</v>
      </c>
      <c r="G164" s="40">
        <v>15.0</v>
      </c>
      <c r="H164" s="40">
        <v>65.0</v>
      </c>
      <c r="I164" s="40">
        <v>0.0</v>
      </c>
      <c r="J164" s="40">
        <v>117.0</v>
      </c>
      <c r="K164" s="40">
        <v>3.0</v>
      </c>
      <c r="L164" s="40">
        <v>36.0</v>
      </c>
      <c r="M164" s="40">
        <v>88.0</v>
      </c>
      <c r="N164" s="24">
        <f t="shared" si="23"/>
        <v>7166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>
      <c r="A165" s="18"/>
      <c r="B165" s="32" t="s">
        <v>16</v>
      </c>
      <c r="C165" s="40">
        <v>2272.0</v>
      </c>
      <c r="D165" s="40">
        <v>0.0</v>
      </c>
      <c r="E165" s="40">
        <v>23.0</v>
      </c>
      <c r="F165" s="40">
        <v>4651.0</v>
      </c>
      <c r="G165" s="40">
        <v>20.0</v>
      </c>
      <c r="H165" s="40">
        <v>134.0</v>
      </c>
      <c r="I165" s="40">
        <v>3.0</v>
      </c>
      <c r="J165" s="40">
        <v>103.0</v>
      </c>
      <c r="K165" s="40">
        <v>6.0</v>
      </c>
      <c r="L165" s="40">
        <v>21.0</v>
      </c>
      <c r="M165" s="40">
        <v>89.0</v>
      </c>
      <c r="N165" s="24">
        <f t="shared" si="23"/>
        <v>7322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>
      <c r="A166" s="18"/>
      <c r="B166" s="32" t="s">
        <v>17</v>
      </c>
      <c r="C166" s="40">
        <v>1864.0</v>
      </c>
      <c r="D166" s="40">
        <v>2.0</v>
      </c>
      <c r="E166" s="40">
        <v>13.0</v>
      </c>
      <c r="F166" s="40">
        <v>2496.0</v>
      </c>
      <c r="G166" s="40">
        <v>13.0</v>
      </c>
      <c r="H166" s="40">
        <v>48.0</v>
      </c>
      <c r="I166" s="40">
        <v>0.0</v>
      </c>
      <c r="J166" s="40">
        <v>39.0</v>
      </c>
      <c r="K166" s="40">
        <v>0.0</v>
      </c>
      <c r="L166" s="40">
        <v>6.0</v>
      </c>
      <c r="M166" s="40">
        <v>43.0</v>
      </c>
      <c r="N166" s="24">
        <f t="shared" si="23"/>
        <v>4524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>
      <c r="A167" s="18"/>
      <c r="B167" s="32" t="s">
        <v>18</v>
      </c>
      <c r="C167" s="40">
        <v>1590.0</v>
      </c>
      <c r="D167" s="40">
        <v>4.0</v>
      </c>
      <c r="E167" s="40">
        <v>13.0</v>
      </c>
      <c r="F167" s="40">
        <v>2786.0</v>
      </c>
      <c r="G167" s="40">
        <v>5.0</v>
      </c>
      <c r="H167" s="40">
        <v>66.0</v>
      </c>
      <c r="I167" s="40">
        <v>0.0</v>
      </c>
      <c r="J167" s="40">
        <v>47.0</v>
      </c>
      <c r="K167" s="40">
        <v>0.0</v>
      </c>
      <c r="L167" s="40">
        <v>13.0</v>
      </c>
      <c r="M167" s="40">
        <v>57.0</v>
      </c>
      <c r="N167" s="24">
        <f t="shared" si="23"/>
        <v>4581</v>
      </c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>
      <c r="A168" s="18"/>
      <c r="B168" s="32" t="s">
        <v>19</v>
      </c>
      <c r="C168" s="40">
        <v>1505.0</v>
      </c>
      <c r="D168" s="40">
        <v>1.0</v>
      </c>
      <c r="E168" s="40">
        <v>14.0</v>
      </c>
      <c r="F168" s="40">
        <v>2244.0</v>
      </c>
      <c r="G168" s="40">
        <v>2.0</v>
      </c>
      <c r="H168" s="40">
        <v>27.0</v>
      </c>
      <c r="I168" s="40">
        <v>0.0</v>
      </c>
      <c r="J168" s="40">
        <v>44.0</v>
      </c>
      <c r="K168" s="40">
        <v>3.0</v>
      </c>
      <c r="L168" s="40">
        <v>15.0</v>
      </c>
      <c r="M168" s="40">
        <v>34.0</v>
      </c>
      <c r="N168" s="24">
        <f t="shared" si="23"/>
        <v>3889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>
      <c r="A169" s="18"/>
      <c r="B169" s="32" t="s">
        <v>20</v>
      </c>
      <c r="C169" s="40">
        <v>1496.0</v>
      </c>
      <c r="D169" s="40">
        <v>4.0</v>
      </c>
      <c r="E169" s="40">
        <v>15.0</v>
      </c>
      <c r="F169" s="40">
        <v>3917.0</v>
      </c>
      <c r="G169" s="40">
        <v>9.0</v>
      </c>
      <c r="H169" s="40">
        <v>77.0</v>
      </c>
      <c r="I169" s="40">
        <v>1.0</v>
      </c>
      <c r="J169" s="40">
        <v>65.0</v>
      </c>
      <c r="K169" s="40">
        <v>0.0</v>
      </c>
      <c r="L169" s="40">
        <v>10.0</v>
      </c>
      <c r="M169" s="40">
        <v>83.0</v>
      </c>
      <c r="N169" s="24">
        <f t="shared" si="23"/>
        <v>5677</v>
      </c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>
      <c r="A170" s="18"/>
      <c r="B170" s="32" t="s">
        <v>21</v>
      </c>
      <c r="C170" s="40">
        <v>1539.0</v>
      </c>
      <c r="D170" s="40">
        <v>4.0</v>
      </c>
      <c r="E170" s="40">
        <v>8.0</v>
      </c>
      <c r="F170" s="40">
        <v>2529.0</v>
      </c>
      <c r="G170" s="40">
        <v>3.0</v>
      </c>
      <c r="H170" s="40">
        <v>48.0</v>
      </c>
      <c r="I170" s="40">
        <v>0.0</v>
      </c>
      <c r="J170" s="40">
        <v>36.0</v>
      </c>
      <c r="K170" s="40">
        <v>1.0</v>
      </c>
      <c r="L170" s="40">
        <v>8.0</v>
      </c>
      <c r="M170" s="40">
        <v>63.0</v>
      </c>
      <c r="N170" s="24">
        <f t="shared" si="23"/>
        <v>4239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>
      <c r="A171" s="18"/>
      <c r="B171" s="26" t="s">
        <v>22</v>
      </c>
      <c r="C171" s="24">
        <f t="shared" ref="C171:M171" si="24">SUM(C159:C170)</f>
        <v>15983</v>
      </c>
      <c r="D171" s="24">
        <f t="shared" si="24"/>
        <v>25</v>
      </c>
      <c r="E171" s="24">
        <f t="shared" si="24"/>
        <v>196</v>
      </c>
      <c r="F171" s="24">
        <f t="shared" si="24"/>
        <v>29472</v>
      </c>
      <c r="G171" s="24">
        <f t="shared" si="24"/>
        <v>84</v>
      </c>
      <c r="H171" s="24">
        <f t="shared" si="24"/>
        <v>640</v>
      </c>
      <c r="I171" s="24">
        <f t="shared" si="24"/>
        <v>5</v>
      </c>
      <c r="J171" s="24">
        <f t="shared" si="24"/>
        <v>535</v>
      </c>
      <c r="K171" s="24">
        <f t="shared" si="24"/>
        <v>24</v>
      </c>
      <c r="L171" s="24">
        <f t="shared" si="24"/>
        <v>120</v>
      </c>
      <c r="M171" s="24">
        <f t="shared" si="24"/>
        <v>596</v>
      </c>
      <c r="N171" s="24">
        <f t="shared" si="23"/>
        <v>47680</v>
      </c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2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2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hidden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2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hidden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2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hidden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2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hidden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2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hidden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2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hidden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2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hidden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2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hidden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2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hidden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2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hidden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2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hidden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2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hidden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2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hidden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2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hidden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2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hidden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2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hidden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2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hidden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2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hidden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2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hidden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2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hidden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2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hidden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2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hidden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2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hidden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2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hidden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2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hidden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2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hidden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2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hidden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2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hidden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2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hidden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2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hidden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2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hidden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2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hidden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2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hidden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2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hidden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2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hidden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2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hidden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2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hidden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2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hidden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2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hidden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2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hidden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2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hidden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2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hidden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2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hidden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2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hidden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2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hidden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2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hidden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2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hidden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2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hidden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2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hidden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2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hidden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2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hidden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2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hidden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2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hidden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2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hidden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2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hidden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2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hidden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2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hidden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2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hidden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2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hidden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2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hidden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2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hidden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2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hidden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2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hidden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2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hidden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2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hidden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2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hidden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2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hidden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2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hidden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2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hidden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2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hidden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2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hidden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2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hidden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2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hidden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2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hidden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2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hidden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2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hidden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2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hidden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2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hidden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2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hidden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2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hidden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2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hidden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2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hidden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2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hidden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2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hidden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2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hidden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2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hidden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2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hidden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2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hidden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2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hidden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2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hidden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2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hidden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2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hidden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2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hidden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2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hidden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2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hidden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2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hidden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2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hidden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2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hidden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2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hidden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2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hidden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2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hidden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2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hidden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2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hidden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2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hidden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2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hidden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2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hidden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2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hidden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2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hidden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2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hidden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2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hidden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2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hidden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2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hidden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2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hidden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2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hidden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2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hidden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2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hidden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2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hidden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2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hidden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2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hidden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2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hidden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2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hidden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2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hidden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2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hidden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2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hidden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2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hidden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2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hidden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2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hidden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2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hidden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2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hidden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2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hidden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2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hidden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2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hidden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2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hidden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2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hidden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2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hidden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2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hidden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2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hidden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2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hidden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2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hidden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2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hidden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2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hidden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2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hidden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2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hidden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2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hidden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2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hidden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2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hidden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2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hidden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2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hidden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2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hidden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2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hidden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2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hidden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2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hidden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2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hidden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2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hidden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2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hidden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2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hidden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2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hidden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2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hidden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2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hidden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2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hidden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2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hidden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2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hidden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2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hidden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2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hidden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2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hidden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2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hidden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2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hidden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2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hidden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2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hidden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2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hidden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2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hidden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2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hidden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2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hidden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2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hidden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2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hidden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2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hidden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2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hidden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2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hidden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2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hidden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2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hidden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2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hidden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2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hidden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2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hidden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2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hidden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2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hidden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2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hidden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2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hidden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2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hidden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2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hidden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2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hidden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2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hidden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2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hidden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2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hidden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2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hidden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2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hidden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2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hidden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2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hidden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2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hidden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2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hidden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2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hidden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2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hidden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2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hidden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2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hidden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2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hidden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2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hidden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2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hidden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2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hidden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2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hidden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2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hidden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2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hidden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2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hidden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2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hidden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2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hidden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2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hidden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2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hidden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2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hidden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2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hidden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2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hidden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2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hidden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2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hidden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2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hidden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2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hidden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2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hidden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2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hidden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2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hidden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2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hidden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2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hidden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2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hidden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2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hidden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2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hidden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2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hidden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2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hidden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2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hidden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2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hidden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2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hidden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2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hidden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2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hidden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2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hidden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2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hidden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2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hidden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2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hidden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2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hidden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2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hidden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2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hidden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2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hidden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2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hidden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2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hidden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2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hidden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2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hidden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2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hidden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2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hidden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2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hidden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2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hidden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2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hidden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2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hidden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2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hidden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2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hidden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2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hidden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2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hidden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2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hidden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2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hidden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2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hidden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2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hidden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2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hidden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2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hidden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2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hidden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2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hidden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2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hidden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2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hidden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2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hidden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2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hidden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2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hidden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2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hidden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2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hidden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2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hidden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2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hidden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2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hidden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2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hidden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2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hidden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2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hidden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2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hidden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2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hidden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2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hidden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2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hidden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2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hidden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2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hidden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2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hidden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2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hidden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2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hidden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2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hidden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2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hidden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2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hidden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2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hidden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2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hidden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2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hidden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2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hidden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2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hidden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2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hidden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2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hidden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2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hidden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2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hidden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2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hidden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2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hidden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2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hidden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2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hidden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2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hidden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2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hidden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2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hidden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2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hidden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2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hidden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2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hidden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2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hidden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2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hidden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2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hidden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2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hidden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2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hidden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2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hidden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2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hidden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2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hidden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2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hidden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2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hidden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2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hidden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2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hidden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2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hidden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2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hidden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2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hidden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2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hidden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2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hidden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2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hidden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2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hidden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2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hidden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2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hidden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2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hidden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2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hidden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2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hidden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2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hidden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2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hidden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2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hidden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2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hidden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2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hidden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2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hidden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2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hidden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2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hidden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2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hidden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2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hidden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2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hidden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2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hidden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2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hidden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2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hidden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2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hidden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2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hidden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2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hidden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2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hidden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2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hidden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2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hidden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2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hidden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2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hidden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2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hidden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2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hidden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2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hidden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2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hidden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2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hidden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2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hidden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2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hidden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2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hidden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2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hidden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2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hidden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2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hidden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2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hidden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2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hidden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2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hidden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2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hidden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2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hidden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2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hidden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2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hidden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2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hidden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2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hidden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2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hidden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2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hidden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2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hidden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2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hidden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2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hidden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2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hidden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2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hidden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2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hidden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2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hidden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2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hidden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2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hidden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2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hidden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2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hidden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2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hidden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2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hidden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2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hidden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2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hidden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2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hidden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2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hidden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2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hidden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2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hidden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2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hidden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2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hidden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2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hidden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2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hidden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2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hidden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2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hidden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2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hidden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2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hidden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2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hidden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2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hidden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2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hidden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2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hidden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2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hidden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2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hidden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2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hidden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2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hidden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2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hidden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2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hidden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2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hidden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2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hidden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2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hidden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2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hidden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2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hidden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2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hidden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2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hidden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2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hidden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2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hidden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2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hidden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2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hidden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2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hidden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2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hidden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2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hidden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2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hidden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2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hidden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2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hidden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2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hidden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2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hidden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2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hidden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2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hidden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2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hidden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2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hidden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2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hidden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2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hidden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2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hidden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2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hidden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2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hidden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2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hidden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2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hidden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2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hidden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2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hidden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2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hidden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2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hidden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2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hidden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2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hidden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2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hidden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2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hidden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2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hidden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2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hidden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2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hidden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2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hidden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2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hidden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2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hidden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2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hidden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2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hidden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2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hidden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2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hidden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2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hidden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2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hidden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2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hidden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2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hidden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2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hidden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2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hidden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2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hidden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2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hidden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2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hidden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2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hidden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2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hidden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2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hidden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2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hidden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2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hidden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2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hidden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2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hidden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2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hidden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2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hidden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2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hidden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2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hidden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2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hidden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2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hidden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2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hidden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2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hidden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2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hidden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2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hidden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2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hidden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2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hidden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2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hidden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2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hidden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2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hidden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2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hidden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2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hidden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2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hidden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2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hidden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2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hidden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2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hidden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2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hidden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2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hidden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2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hidden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2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hidden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2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hidden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2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hidden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2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hidden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2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hidden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2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hidden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2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hidden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2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hidden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2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hidden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2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hidden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2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hidden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2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hidden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2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hidden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2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hidden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2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hidden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2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hidden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2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hidden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2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hidden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2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hidden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2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hidden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2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hidden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2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hidden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2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hidden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2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hidden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2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hidden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2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hidden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2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hidden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2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hidden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2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hidden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2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hidden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2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hidden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2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hidden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2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hidden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2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hidden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2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hidden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2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hidden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2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hidden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2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hidden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2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hidden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2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hidden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2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hidden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2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hidden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2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hidden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2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hidden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2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hidden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2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hidden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2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hidden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2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hidden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2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hidden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2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hidden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2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hidden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2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hidden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2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hidden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2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hidden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2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hidden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2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hidden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2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hidden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2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hidden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2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hidden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2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hidden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2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hidden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2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hidden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2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hidden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2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hidden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2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hidden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2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hidden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2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hidden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2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hidden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2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hidden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2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hidden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2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hidden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2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hidden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2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hidden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2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hidden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2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hidden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2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hidden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2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hidden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2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hidden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2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hidden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2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hidden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2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hidden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2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hidden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2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hidden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2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hidden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2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hidden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2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hidden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2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hidden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2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hidden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2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hidden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2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hidden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2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hidden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2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hidden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2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hidden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2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hidden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2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hidden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2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hidden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2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hidden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2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hidden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2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hidden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2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hidden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2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hidden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2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hidden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2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hidden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2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hidden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2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hidden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2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hidden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2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hidden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2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hidden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2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hidden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2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hidden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2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hidden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2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hidden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2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hidden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2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hidden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2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hidden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2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hidden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2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hidden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2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hidden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2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hidden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2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hidden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2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hidden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2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hidden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2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hidden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2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hidden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2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hidden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2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hidden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2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hidden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2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hidden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2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hidden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2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hidden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2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hidden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2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hidden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2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hidden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2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hidden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2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hidden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2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hidden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2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hidden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2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hidden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2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hidden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2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hidden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2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hidden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2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hidden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2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hidden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2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hidden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2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hidden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2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hidden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2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hidden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2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hidden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2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hidden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2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hidden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2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hidden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2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hidden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2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hidden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2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hidden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2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hidden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2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hidden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2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hidden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2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hidden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2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hidden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2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hidden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2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hidden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2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hidden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2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hidden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2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hidden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2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hidden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2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hidden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2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hidden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2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hidden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2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hidden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2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hidden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2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hidden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2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hidden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2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hidden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2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hidden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2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hidden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2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hidden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2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hidden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2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hidden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2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hidden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2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hidden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2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hidden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2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hidden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2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hidden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2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hidden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2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hidden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2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hidden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2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hidden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2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hidden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2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hidden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2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hidden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2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hidden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2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hidden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2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hidden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2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hidden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2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hidden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2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hidden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2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hidden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2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hidden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2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hidden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2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hidden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2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hidden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2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hidden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2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hidden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2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hidden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2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hidden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2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hidden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2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hidden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2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hidden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2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hidden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2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hidden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2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hidden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2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hidden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2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hidden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2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hidden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2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hidden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2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hidden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2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hidden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2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hidden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2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hidden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2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hidden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2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hidden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2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hidden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2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hidden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2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hidden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2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hidden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2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hidden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2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hidden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2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hidden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2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hidden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2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hidden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2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hidden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2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hidden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2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hidden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2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hidden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2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hidden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2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hidden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2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hidden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2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hidden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2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hidden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2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hidden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2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hidden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2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hidden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2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hidden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2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hidden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2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hidden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2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hidden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2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hidden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2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hidden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2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hidden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2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hidden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2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hidden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2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hidden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2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hidden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2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hidden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2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hidden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2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hidden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2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hidden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2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hidden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2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hidden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2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hidden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2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hidden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2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hidden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2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hidden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2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hidden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2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hidden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2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hidden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2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hidden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2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hidden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2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hidden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2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hidden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2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hidden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2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hidden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2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hidden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2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hidden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2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hidden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2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hidden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2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hidden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2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hidden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2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hidden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2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hidden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2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hidden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2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hidden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2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hidden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2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hidden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2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hidden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2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hidden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2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hidden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2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hidden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2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hidden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2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hidden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2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hidden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2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hidden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2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hidden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2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hidden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2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hidden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2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hidden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2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hidden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2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hidden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2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hidden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2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hidden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2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hidden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2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hidden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2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hidden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2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hidden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2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hidden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2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hidden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2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hidden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2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hidden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2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hidden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2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hidden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2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hidden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2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hidden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2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hidden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2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hidden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2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hidden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2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hidden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2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hidden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2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hidden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2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hidden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2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hidden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2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hidden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2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hidden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2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hidden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2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  <row r="1001" hidden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2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</row>
    <row r="1002" hidden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2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</row>
    <row r="1003" hidden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2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</row>
    <row r="1004" hidden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2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</row>
    <row r="1005" hidden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2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</row>
    <row r="1006" hidden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2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</row>
    <row r="1007" hidden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2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</row>
    <row r="1008" hidden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2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</row>
    <row r="1009" hidden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2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</row>
    <row r="1010" hidden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2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</row>
    <row r="1011" hidden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2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</row>
    <row r="1012" hidden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2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</row>
    <row r="1013" hidden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2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</row>
    <row r="1014" hidden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2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</row>
    <row r="1015" hidden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2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</row>
    <row r="1016" hidden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2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</row>
  </sheetData>
  <mergeCells count="17">
    <mergeCell ref="A1:N1"/>
    <mergeCell ref="B2:C2"/>
    <mergeCell ref="B3:C3"/>
    <mergeCell ref="B4:C4"/>
    <mergeCell ref="B5:C5"/>
    <mergeCell ref="B7:O7"/>
    <mergeCell ref="B25:O25"/>
    <mergeCell ref="B108:Q108"/>
    <mergeCell ref="B125:Q125"/>
    <mergeCell ref="B141:E141"/>
    <mergeCell ref="B42:G42"/>
    <mergeCell ref="B59:E59"/>
    <mergeCell ref="F59:J59"/>
    <mergeCell ref="K59:L59"/>
    <mergeCell ref="B75:K75"/>
    <mergeCell ref="B91:G91"/>
    <mergeCell ref="I91:M91"/>
  </mergeCells>
  <conditionalFormatting sqref="C28:N28">
    <cfRule type="colorScale" priority="1">
      <colorScale>
        <cfvo type="min"/>
        <cfvo type="max"/>
        <color rgb="FFFFFFFF"/>
        <color rgb="FFE67C73"/>
      </colorScale>
    </cfRule>
  </conditionalFormatting>
  <conditionalFormatting sqref="C27:N27">
    <cfRule type="colorScale" priority="2">
      <colorScale>
        <cfvo type="min"/>
        <cfvo type="max"/>
        <color rgb="FFFFFFFF"/>
        <color rgb="FFE67C73"/>
      </colorScale>
    </cfRule>
  </conditionalFormatting>
  <conditionalFormatting sqref="C11:N11">
    <cfRule type="colorScale" priority="3">
      <colorScale>
        <cfvo type="min"/>
        <cfvo type="max"/>
        <color rgb="FFFFFFFF"/>
        <color rgb="FF57BB8A"/>
      </colorScale>
    </cfRule>
  </conditionalFormatting>
  <conditionalFormatting sqref="C12:N12">
    <cfRule type="notContainsBlanks" dxfId="0" priority="4">
      <formula>LEN(TRIM(C12))&gt;0</formula>
    </cfRule>
  </conditionalFormatting>
  <conditionalFormatting sqref="C13:N13">
    <cfRule type="colorScale" priority="5">
      <colorScale>
        <cfvo type="min"/>
        <cfvo type="max"/>
        <color rgb="FFFFFFFF"/>
        <color rgb="FF57BB8A"/>
      </colorScale>
    </cfRule>
  </conditionalFormatting>
  <conditionalFormatting sqref="C14:N14">
    <cfRule type="colorScale" priority="6">
      <colorScale>
        <cfvo type="min"/>
        <cfvo type="max"/>
        <color rgb="FFFFFFFF"/>
        <color rgb="FF57BB8A"/>
      </colorScale>
    </cfRule>
  </conditionalFormatting>
  <conditionalFormatting sqref="C15:N15">
    <cfRule type="colorScale" priority="7">
      <colorScale>
        <cfvo type="min"/>
        <cfvo type="max"/>
        <color rgb="FFFFFFFF"/>
        <color rgb="FF57BB8A"/>
      </colorScale>
    </cfRule>
  </conditionalFormatting>
  <conditionalFormatting sqref="C16:N16">
    <cfRule type="colorScale" priority="8">
      <colorScale>
        <cfvo type="min"/>
        <cfvo type="max"/>
        <color rgb="FFFFFFFF"/>
        <color rgb="FF57BB8A"/>
      </colorScale>
    </cfRule>
  </conditionalFormatting>
  <conditionalFormatting sqref="C17:N17">
    <cfRule type="colorScale" priority="9">
      <colorScale>
        <cfvo type="min"/>
        <cfvo type="max"/>
        <color rgb="FFFFFFFF"/>
        <color rgb="FF57BB8A"/>
      </colorScale>
    </cfRule>
  </conditionalFormatting>
  <conditionalFormatting sqref="C18:N18">
    <cfRule type="colorScale" priority="10">
      <colorScale>
        <cfvo type="min"/>
        <cfvo type="max"/>
        <color rgb="FFFFFFFF"/>
        <color rgb="FF57BB8A"/>
      </colorScale>
    </cfRule>
  </conditionalFormatting>
  <conditionalFormatting sqref="C19:N19">
    <cfRule type="colorScale" priority="11">
      <colorScale>
        <cfvo type="min"/>
        <cfvo type="max"/>
        <color rgb="FFFFFFFF"/>
        <color rgb="FF57BB8A"/>
      </colorScale>
    </cfRule>
  </conditionalFormatting>
  <conditionalFormatting sqref="C20:N20">
    <cfRule type="colorScale" priority="12">
      <colorScale>
        <cfvo type="min"/>
        <cfvo type="max"/>
        <color rgb="FFFFFFFF"/>
        <color rgb="FF57BB8A"/>
      </colorScale>
    </cfRule>
  </conditionalFormatting>
  <conditionalFormatting sqref="C21:N21">
    <cfRule type="colorScale" priority="13">
      <colorScale>
        <cfvo type="min"/>
        <cfvo type="max"/>
        <color rgb="FFFFFFFF"/>
        <color rgb="FF57BB8A"/>
      </colorScale>
    </cfRule>
  </conditionalFormatting>
  <conditionalFormatting sqref="C9:N9">
    <cfRule type="colorScale" priority="14">
      <colorScale>
        <cfvo type="min"/>
        <cfvo type="max"/>
        <color rgb="FFFFFFFF"/>
        <color rgb="FF57BB8A"/>
      </colorScale>
    </cfRule>
  </conditionalFormatting>
  <conditionalFormatting sqref="C10:N10">
    <cfRule type="colorScale" priority="15">
      <colorScale>
        <cfvo type="min"/>
        <cfvo type="max"/>
        <color rgb="FFFFFFFF"/>
        <color rgb="FF57BB8A"/>
      </colorScale>
    </cfRule>
  </conditionalFormatting>
  <conditionalFormatting sqref="C29:N29">
    <cfRule type="colorScale" priority="16">
      <colorScale>
        <cfvo type="min"/>
        <cfvo type="max"/>
        <color rgb="FFFFFFFF"/>
        <color rgb="FFE67C73"/>
      </colorScale>
    </cfRule>
  </conditionalFormatting>
  <conditionalFormatting sqref="C30:N30">
    <cfRule type="colorScale" priority="17">
      <colorScale>
        <cfvo type="min"/>
        <cfvo type="max"/>
        <color rgb="FFFFFFFF"/>
        <color rgb="FFE67C73"/>
      </colorScale>
    </cfRule>
  </conditionalFormatting>
  <conditionalFormatting sqref="C31:N31">
    <cfRule type="colorScale" priority="18">
      <colorScale>
        <cfvo type="min"/>
        <cfvo type="max"/>
        <color rgb="FFFFFFFF"/>
        <color rgb="FFE67C73"/>
      </colorScale>
    </cfRule>
  </conditionalFormatting>
  <conditionalFormatting sqref="C32:N32">
    <cfRule type="colorScale" priority="19">
      <colorScale>
        <cfvo type="min"/>
        <cfvo type="max"/>
        <color rgb="FFFFFFFF"/>
        <color rgb="FFE67C73"/>
      </colorScale>
    </cfRule>
  </conditionalFormatting>
  <conditionalFormatting sqref="C33:N33">
    <cfRule type="colorScale" priority="20">
      <colorScale>
        <cfvo type="min"/>
        <cfvo type="max"/>
        <color rgb="FFFFFFFF"/>
        <color rgb="FFE67C73"/>
      </colorScale>
    </cfRule>
  </conditionalFormatting>
  <conditionalFormatting sqref="C34:N34">
    <cfRule type="colorScale" priority="21">
      <colorScale>
        <cfvo type="min"/>
        <cfvo type="max"/>
        <color rgb="FFFFFFFF"/>
        <color rgb="FFE67C73"/>
      </colorScale>
    </cfRule>
  </conditionalFormatting>
  <conditionalFormatting sqref="C35:N35">
    <cfRule type="colorScale" priority="22">
      <colorScale>
        <cfvo type="min"/>
        <cfvo type="max"/>
        <color rgb="FFFFFFFF"/>
        <color rgb="FFE67C73"/>
      </colorScale>
    </cfRule>
  </conditionalFormatting>
  <conditionalFormatting sqref="C36:N36">
    <cfRule type="colorScale" priority="23">
      <colorScale>
        <cfvo type="min"/>
        <cfvo type="max"/>
        <color rgb="FFFFFFFF"/>
        <color rgb="FFE67C73"/>
      </colorScale>
    </cfRule>
  </conditionalFormatting>
  <conditionalFormatting sqref="C37:N37">
    <cfRule type="colorScale" priority="24">
      <colorScale>
        <cfvo type="min"/>
        <cfvo type="max"/>
        <color rgb="FFFFFFFF"/>
        <color rgb="FFE67C73"/>
      </colorScale>
    </cfRule>
  </conditionalFormatting>
  <conditionalFormatting sqref="C38:N38">
    <cfRule type="colorScale" priority="25">
      <colorScale>
        <cfvo type="min"/>
        <cfvo type="max"/>
        <color rgb="FFFFFFFF"/>
        <color rgb="FFE67C73"/>
      </colorScale>
    </cfRule>
  </conditionalFormatting>
  <conditionalFormatting sqref="C39:N39">
    <cfRule type="colorScale" priority="26">
      <colorScale>
        <cfvo type="min"/>
        <cfvo type="max"/>
        <color rgb="FFFFFFFF"/>
        <color rgb="FFE67C73"/>
      </colorScale>
    </cfRule>
  </conditionalFormatting>
  <conditionalFormatting sqref="C44:F44">
    <cfRule type="colorScale" priority="27">
      <colorScale>
        <cfvo type="min"/>
        <cfvo type="max"/>
        <color rgb="FFFFFFFF"/>
        <color rgb="FFFFD666"/>
      </colorScale>
    </cfRule>
  </conditionalFormatting>
  <conditionalFormatting sqref="C45:F45">
    <cfRule type="colorScale" priority="28">
      <colorScale>
        <cfvo type="min"/>
        <cfvo type="max"/>
        <color rgb="FFFFFFFF"/>
        <color rgb="FFFFD666"/>
      </colorScale>
    </cfRule>
  </conditionalFormatting>
  <conditionalFormatting sqref="C46:F46">
    <cfRule type="colorScale" priority="29">
      <colorScale>
        <cfvo type="min"/>
        <cfvo type="max"/>
        <color rgb="FFFFFFFF"/>
        <color rgb="FFFFD666"/>
      </colorScale>
    </cfRule>
  </conditionalFormatting>
  <conditionalFormatting sqref="C47:F47">
    <cfRule type="colorScale" priority="30">
      <colorScale>
        <cfvo type="min"/>
        <cfvo type="max"/>
        <color rgb="FFFFFFFF"/>
        <color rgb="FFFFD666"/>
      </colorScale>
    </cfRule>
  </conditionalFormatting>
  <conditionalFormatting sqref="C48:F48">
    <cfRule type="colorScale" priority="31">
      <colorScale>
        <cfvo type="min"/>
        <cfvo type="max"/>
        <color rgb="FFFFFFFF"/>
        <color rgb="FFFFD666"/>
      </colorScale>
    </cfRule>
  </conditionalFormatting>
  <conditionalFormatting sqref="C49:F49">
    <cfRule type="colorScale" priority="32">
      <colorScale>
        <cfvo type="min"/>
        <cfvo type="max"/>
        <color rgb="FFFFFFFF"/>
        <color rgb="FFFFD666"/>
      </colorScale>
    </cfRule>
  </conditionalFormatting>
  <conditionalFormatting sqref="C50:F50">
    <cfRule type="colorScale" priority="33">
      <colorScale>
        <cfvo type="min"/>
        <cfvo type="max"/>
        <color rgb="FFFFFFFF"/>
        <color rgb="FFFFD666"/>
      </colorScale>
    </cfRule>
  </conditionalFormatting>
  <conditionalFormatting sqref="C51:F51">
    <cfRule type="colorScale" priority="34">
      <colorScale>
        <cfvo type="min"/>
        <cfvo type="max"/>
        <color rgb="FFFFFFFF"/>
        <color rgb="FFFFD666"/>
      </colorScale>
    </cfRule>
  </conditionalFormatting>
  <conditionalFormatting sqref="C52:F52">
    <cfRule type="colorScale" priority="35">
      <colorScale>
        <cfvo type="min"/>
        <cfvo type="max"/>
        <color rgb="FFFFFFFF"/>
        <color rgb="FFFFD666"/>
      </colorScale>
    </cfRule>
  </conditionalFormatting>
  <conditionalFormatting sqref="C53:F54">
    <cfRule type="colorScale" priority="36">
      <colorScale>
        <cfvo type="min"/>
        <cfvo type="max"/>
        <color rgb="FFFFFFFF"/>
        <color rgb="FFFFD666"/>
      </colorScale>
    </cfRule>
  </conditionalFormatting>
  <conditionalFormatting sqref="C55:F55">
    <cfRule type="colorScale" priority="37">
      <colorScale>
        <cfvo type="min"/>
        <cfvo type="max"/>
        <color rgb="FFFFFFFF"/>
        <color rgb="FFFFD666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25"/>
    <col customWidth="1" min="2" max="2" width="19.75"/>
    <col customWidth="1" min="3" max="3" width="15.75"/>
    <col customWidth="1" min="4" max="4" width="15.63"/>
    <col customWidth="1" min="5" max="5" width="12.88"/>
    <col customWidth="1" min="6" max="6" width="19.13"/>
    <col customWidth="1" min="7" max="7" width="22.25"/>
    <col customWidth="1" min="8" max="8" width="12.63"/>
    <col customWidth="1" min="9" max="9" width="13.5"/>
    <col customWidth="1" min="10" max="10" width="10.5"/>
    <col customWidth="1" min="11" max="11" width="10.25"/>
    <col customWidth="1" min="12" max="12" width="8.25"/>
    <col customWidth="1" min="13" max="13" width="9.63"/>
    <col customWidth="1" min="14" max="14" width="0.75"/>
    <col customWidth="1" hidden="1" min="15" max="15" width="16.75"/>
    <col customWidth="1" hidden="1" min="16" max="16" width="11.25"/>
    <col customWidth="1" hidden="1" min="17" max="17" width="9.0"/>
    <col customWidth="1" hidden="1" min="18" max="18" width="8.38"/>
    <col hidden="1" min="19" max="25" width="12.63"/>
  </cols>
  <sheetData>
    <row r="1" ht="54.0" customHeight="1">
      <c r="A1" s="1" t="s">
        <v>101</v>
      </c>
    </row>
    <row r="2" ht="13.5" customHeight="1">
      <c r="A2" s="2"/>
      <c r="B2" s="3" t="s">
        <v>102</v>
      </c>
      <c r="D2" s="4" t="s">
        <v>2</v>
      </c>
      <c r="E2" s="5"/>
      <c r="F2" s="5"/>
      <c r="G2" s="2"/>
      <c r="H2" s="6"/>
      <c r="I2" s="6"/>
      <c r="J2" s="6"/>
      <c r="K2" s="7"/>
      <c r="L2" s="7"/>
    </row>
    <row r="3" ht="15.75" customHeight="1">
      <c r="A3" s="2"/>
      <c r="B3" s="8" t="s">
        <v>3</v>
      </c>
      <c r="D3" s="4" t="s">
        <v>4</v>
      </c>
      <c r="E3" s="5"/>
      <c r="F3" s="5"/>
      <c r="G3" s="2"/>
      <c r="H3" s="6"/>
      <c r="I3" s="6"/>
      <c r="J3" s="6"/>
      <c r="K3" s="10"/>
      <c r="L3" s="10"/>
    </row>
    <row r="4">
      <c r="A4" s="2"/>
      <c r="B4" s="8" t="s">
        <v>5</v>
      </c>
      <c r="D4" s="11" t="s">
        <v>6</v>
      </c>
      <c r="E4" s="12"/>
      <c r="F4" s="2"/>
      <c r="G4" s="2"/>
      <c r="H4" s="2"/>
      <c r="I4" s="2"/>
      <c r="J4" s="2"/>
      <c r="K4" s="2"/>
    </row>
    <row r="5">
      <c r="A5" s="2"/>
      <c r="B5" s="3" t="s">
        <v>103</v>
      </c>
      <c r="D5" s="45" t="s">
        <v>104</v>
      </c>
      <c r="E5" s="2"/>
      <c r="F5" s="2"/>
      <c r="G5" s="2"/>
      <c r="H5" s="2"/>
      <c r="I5" s="2"/>
      <c r="J5" s="2"/>
      <c r="K5" s="2"/>
    </row>
    <row r="6">
      <c r="A6" s="2"/>
      <c r="B6" s="46" t="s">
        <v>105</v>
      </c>
      <c r="H6" s="2"/>
      <c r="I6" s="2"/>
      <c r="J6" s="2"/>
      <c r="K6" s="2"/>
    </row>
    <row r="7" ht="10.5" customHeight="1">
      <c r="A7" s="2"/>
      <c r="B7" s="14"/>
      <c r="C7" s="2"/>
      <c r="D7" s="2"/>
      <c r="E7" s="2"/>
      <c r="F7" s="2"/>
      <c r="G7" s="2"/>
      <c r="H7" s="2"/>
      <c r="I7" s="2"/>
      <c r="J7" s="2"/>
      <c r="K7" s="2"/>
    </row>
    <row r="8">
      <c r="A8" s="2"/>
      <c r="B8" s="29" t="s">
        <v>106</v>
      </c>
      <c r="C8" s="16"/>
      <c r="D8" s="16"/>
      <c r="E8" s="16"/>
      <c r="F8" s="16"/>
      <c r="G8" s="17"/>
      <c r="H8" s="2"/>
      <c r="I8" s="2"/>
      <c r="J8" s="2"/>
      <c r="K8" s="2"/>
      <c r="L8" s="2"/>
      <c r="M8" s="2"/>
      <c r="N8" s="2"/>
      <c r="O8" s="2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54.75" customHeight="1">
      <c r="A9" s="2"/>
      <c r="B9" s="19" t="s">
        <v>38</v>
      </c>
      <c r="C9" s="20" t="s">
        <v>107</v>
      </c>
      <c r="D9" s="20" t="s">
        <v>108</v>
      </c>
      <c r="E9" s="20" t="s">
        <v>109</v>
      </c>
      <c r="F9" s="20" t="s">
        <v>110</v>
      </c>
      <c r="G9" s="21" t="s">
        <v>22</v>
      </c>
      <c r="H9" s="2"/>
      <c r="I9" s="2"/>
      <c r="J9" s="2"/>
      <c r="K9" s="2"/>
      <c r="L9" s="2"/>
      <c r="M9" s="2"/>
      <c r="N9" s="2"/>
      <c r="O9" s="2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>
      <c r="A10" s="2"/>
      <c r="B10" s="31" t="s">
        <v>10</v>
      </c>
      <c r="C10" s="47">
        <v>1136.0</v>
      </c>
      <c r="D10" s="47">
        <v>313.0</v>
      </c>
      <c r="E10" s="47">
        <v>526.0</v>
      </c>
      <c r="F10" s="47">
        <v>872.0</v>
      </c>
      <c r="G10" s="24">
        <f t="shared" ref="G10:G21" si="1">SUM(C10:F10)</f>
        <v>2847</v>
      </c>
      <c r="H10" s="2"/>
      <c r="I10" s="48"/>
      <c r="J10" s="2"/>
      <c r="K10" s="2"/>
      <c r="L10" s="2"/>
      <c r="M10" s="2"/>
      <c r="N10" s="2"/>
      <c r="O10" s="2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>
      <c r="A11" s="2"/>
      <c r="B11" s="31" t="s">
        <v>11</v>
      </c>
      <c r="C11" s="47">
        <v>1052.0</v>
      </c>
      <c r="D11" s="47">
        <v>211.0</v>
      </c>
      <c r="E11" s="47">
        <v>652.0</v>
      </c>
      <c r="F11" s="47">
        <v>1275.0</v>
      </c>
      <c r="G11" s="24">
        <f t="shared" si="1"/>
        <v>3190</v>
      </c>
      <c r="H11" s="2"/>
      <c r="I11" s="48"/>
      <c r="J11" s="2"/>
      <c r="K11" s="2"/>
      <c r="L11" s="2"/>
      <c r="M11" s="2"/>
      <c r="N11" s="2"/>
      <c r="O11" s="2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>
      <c r="A12" s="2"/>
      <c r="B12" s="31" t="s">
        <v>12</v>
      </c>
      <c r="C12" s="47">
        <v>818.0</v>
      </c>
      <c r="D12" s="47">
        <v>188.0</v>
      </c>
      <c r="E12" s="47">
        <v>437.0</v>
      </c>
      <c r="F12" s="47">
        <v>819.0</v>
      </c>
      <c r="G12" s="24">
        <f t="shared" si="1"/>
        <v>2262</v>
      </c>
      <c r="H12" s="2"/>
      <c r="I12" s="48"/>
      <c r="J12" s="2"/>
      <c r="K12" s="2"/>
      <c r="L12" s="2"/>
      <c r="M12" s="2"/>
      <c r="N12" s="2"/>
      <c r="O12" s="2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>
      <c r="A13" s="2"/>
      <c r="B13" s="31" t="s">
        <v>13</v>
      </c>
      <c r="C13" s="47">
        <v>975.0</v>
      </c>
      <c r="D13" s="47">
        <v>515.0</v>
      </c>
      <c r="E13" s="47">
        <v>1163.0</v>
      </c>
      <c r="F13" s="47">
        <v>1892.0</v>
      </c>
      <c r="G13" s="24">
        <f t="shared" si="1"/>
        <v>4545</v>
      </c>
      <c r="H13" s="2"/>
      <c r="I13" s="48"/>
      <c r="J13" s="2"/>
      <c r="K13" s="2"/>
      <c r="L13" s="2"/>
      <c r="M13" s="2"/>
      <c r="N13" s="2"/>
      <c r="O13" s="2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>
      <c r="A14" s="2"/>
      <c r="B14" s="31" t="s">
        <v>14</v>
      </c>
      <c r="C14" s="47">
        <v>1261.0</v>
      </c>
      <c r="D14" s="47">
        <v>305.0</v>
      </c>
      <c r="E14" s="47">
        <v>745.0</v>
      </c>
      <c r="F14" s="47">
        <v>1214.0</v>
      </c>
      <c r="G14" s="24">
        <f t="shared" si="1"/>
        <v>3525</v>
      </c>
      <c r="H14" s="2"/>
      <c r="I14" s="48"/>
      <c r="J14" s="2"/>
      <c r="K14" s="2"/>
      <c r="L14" s="2"/>
      <c r="M14" s="2"/>
      <c r="N14" s="2"/>
      <c r="O14" s="2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>
      <c r="A15" s="2"/>
      <c r="B15" s="31" t="s">
        <v>15</v>
      </c>
      <c r="C15" s="47">
        <v>4229.0</v>
      </c>
      <c r="D15" s="47">
        <v>1193.0</v>
      </c>
      <c r="E15" s="47">
        <v>2223.0</v>
      </c>
      <c r="F15" s="47">
        <v>4936.0</v>
      </c>
      <c r="G15" s="24">
        <f t="shared" si="1"/>
        <v>12581</v>
      </c>
      <c r="H15" s="2"/>
      <c r="I15" s="48"/>
      <c r="J15" s="2"/>
      <c r="K15" s="2"/>
      <c r="L15" s="2"/>
      <c r="M15" s="2"/>
      <c r="N15" s="2"/>
      <c r="O15" s="2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>
      <c r="A16" s="2"/>
      <c r="B16" s="31" t="s">
        <v>16</v>
      </c>
      <c r="C16" s="47">
        <v>4030.0</v>
      </c>
      <c r="D16" s="47">
        <v>969.0</v>
      </c>
      <c r="E16" s="47">
        <v>2410.0</v>
      </c>
      <c r="F16" s="47">
        <v>5315.0</v>
      </c>
      <c r="G16" s="24">
        <f t="shared" si="1"/>
        <v>12724</v>
      </c>
      <c r="H16" s="2"/>
      <c r="I16" s="48"/>
      <c r="J16" s="2"/>
      <c r="K16" s="2"/>
      <c r="L16" s="2"/>
      <c r="M16" s="2"/>
      <c r="N16" s="2"/>
      <c r="O16" s="2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>
      <c r="A17" s="2"/>
      <c r="B17" s="31" t="s">
        <v>17</v>
      </c>
      <c r="C17" s="47">
        <v>2534.0</v>
      </c>
      <c r="D17" s="47">
        <v>591.0</v>
      </c>
      <c r="E17" s="47">
        <v>1400.0</v>
      </c>
      <c r="F17" s="47">
        <v>2605.0</v>
      </c>
      <c r="G17" s="24">
        <f t="shared" si="1"/>
        <v>7130</v>
      </c>
      <c r="H17" s="2"/>
      <c r="I17" s="48"/>
      <c r="J17" s="2"/>
      <c r="K17" s="2"/>
      <c r="L17" s="2"/>
      <c r="M17" s="2"/>
      <c r="N17" s="2"/>
      <c r="O17" s="2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>
      <c r="A18" s="2"/>
      <c r="B18" s="31" t="s">
        <v>18</v>
      </c>
      <c r="C18" s="47">
        <v>2027.0</v>
      </c>
      <c r="D18" s="47">
        <v>826.0</v>
      </c>
      <c r="E18" s="47">
        <v>1446.0</v>
      </c>
      <c r="F18" s="47">
        <v>2420.0</v>
      </c>
      <c r="G18" s="24">
        <f t="shared" si="1"/>
        <v>6719</v>
      </c>
      <c r="H18" s="2"/>
      <c r="I18" s="48"/>
      <c r="J18" s="2"/>
      <c r="K18" s="2"/>
      <c r="L18" s="2"/>
      <c r="M18" s="2"/>
      <c r="N18" s="2"/>
      <c r="O18" s="2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>
      <c r="A19" s="2"/>
      <c r="B19" s="31" t="s">
        <v>19</v>
      </c>
      <c r="C19" s="47">
        <v>1731.0</v>
      </c>
      <c r="D19" s="47">
        <v>505.0</v>
      </c>
      <c r="E19" s="47">
        <v>1221.0</v>
      </c>
      <c r="F19" s="47">
        <v>2913.0</v>
      </c>
      <c r="G19" s="24">
        <f t="shared" si="1"/>
        <v>6370</v>
      </c>
      <c r="H19" s="2"/>
      <c r="I19" s="48"/>
      <c r="J19" s="2"/>
      <c r="K19" s="2"/>
      <c r="L19" s="2"/>
      <c r="M19" s="2"/>
      <c r="N19" s="2"/>
      <c r="O19" s="2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>
      <c r="A20" s="2"/>
      <c r="B20" s="31" t="s">
        <v>20</v>
      </c>
      <c r="C20" s="47">
        <v>3534.0</v>
      </c>
      <c r="D20" s="47">
        <v>815.0</v>
      </c>
      <c r="E20" s="47">
        <v>1861.0</v>
      </c>
      <c r="F20" s="47">
        <v>3657.0</v>
      </c>
      <c r="G20" s="24">
        <f t="shared" si="1"/>
        <v>9867</v>
      </c>
      <c r="H20" s="2"/>
      <c r="I20" s="48"/>
      <c r="J20" s="2"/>
      <c r="K20" s="2"/>
      <c r="L20" s="2"/>
      <c r="M20" s="2"/>
      <c r="N20" s="2"/>
      <c r="O20" s="2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>
      <c r="A21" s="2"/>
      <c r="B21" s="31" t="s">
        <v>21</v>
      </c>
      <c r="C21" s="47">
        <v>1608.0</v>
      </c>
      <c r="D21" s="47">
        <v>595.0</v>
      </c>
      <c r="E21" s="47">
        <v>1390.0</v>
      </c>
      <c r="F21" s="47">
        <v>2334.0</v>
      </c>
      <c r="G21" s="24">
        <f t="shared" si="1"/>
        <v>5927</v>
      </c>
      <c r="H21" s="2"/>
      <c r="I21" s="48"/>
      <c r="J21" s="2"/>
      <c r="K21" s="2"/>
      <c r="L21" s="2"/>
      <c r="M21" s="2"/>
      <c r="N21" s="2"/>
      <c r="O21" s="2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>
      <c r="A22" s="2"/>
      <c r="B22" s="26" t="s">
        <v>22</v>
      </c>
      <c r="C22" s="24">
        <f t="shared" ref="C22:G22" si="2">SUM(C10:C21)</f>
        <v>24935</v>
      </c>
      <c r="D22" s="24">
        <f t="shared" si="2"/>
        <v>7026</v>
      </c>
      <c r="E22" s="24">
        <f t="shared" si="2"/>
        <v>15474</v>
      </c>
      <c r="F22" s="24">
        <f t="shared" si="2"/>
        <v>30252</v>
      </c>
      <c r="G22" s="27">
        <f t="shared" si="2"/>
        <v>77687</v>
      </c>
      <c r="H22" s="2"/>
      <c r="I22" s="2"/>
      <c r="J22" s="2"/>
      <c r="K22" s="2"/>
      <c r="L22" s="2"/>
      <c r="M22" s="2"/>
      <c r="N22" s="2"/>
      <c r="O22" s="2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>
      <c r="A24" s="2"/>
      <c r="B24" s="29" t="s">
        <v>111</v>
      </c>
      <c r="C24" s="16"/>
      <c r="D24" s="16"/>
      <c r="E24" s="16"/>
      <c r="F24" s="16"/>
      <c r="G24" s="17"/>
      <c r="H24" s="2"/>
      <c r="I24" s="2"/>
      <c r="J24" s="2"/>
      <c r="K24" s="2"/>
      <c r="L24" s="2"/>
      <c r="M24" s="2"/>
      <c r="N24" s="2"/>
      <c r="O24" s="2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>
      <c r="A25" s="2"/>
      <c r="B25" s="19" t="s">
        <v>38</v>
      </c>
      <c r="C25" s="20" t="s">
        <v>107</v>
      </c>
      <c r="D25" s="20" t="s">
        <v>108</v>
      </c>
      <c r="E25" s="20" t="s">
        <v>109</v>
      </c>
      <c r="F25" s="20" t="s">
        <v>110</v>
      </c>
      <c r="G25" s="49" t="s">
        <v>112</v>
      </c>
      <c r="H25" s="2"/>
      <c r="I25" s="2"/>
      <c r="J25" s="2"/>
      <c r="K25" s="2"/>
      <c r="L25" s="2"/>
      <c r="M25" s="2"/>
      <c r="N25" s="2"/>
      <c r="O25" s="2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2"/>
      <c r="B26" s="31" t="s">
        <v>10</v>
      </c>
      <c r="C26" s="50">
        <v>43.03</v>
      </c>
      <c r="D26" s="50">
        <v>11.86</v>
      </c>
      <c r="E26" s="50">
        <v>19.92</v>
      </c>
      <c r="F26" s="50">
        <v>33.03</v>
      </c>
      <c r="G26" s="51">
        <f t="shared" ref="G26:G37" si="3">AVERAGE(C26:F26)</f>
        <v>26.96</v>
      </c>
      <c r="H26" s="2"/>
      <c r="I26" s="2"/>
      <c r="J26" s="2"/>
      <c r="K26" s="2"/>
      <c r="L26" s="2"/>
      <c r="M26" s="2"/>
      <c r="N26" s="2"/>
      <c r="O26" s="2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>
      <c r="A27" s="2"/>
      <c r="B27" s="31" t="s">
        <v>11</v>
      </c>
      <c r="C27" s="50">
        <v>23.85</v>
      </c>
      <c r="D27" s="50">
        <v>4.78</v>
      </c>
      <c r="E27" s="50">
        <v>14.78</v>
      </c>
      <c r="F27" s="50">
        <v>28.91</v>
      </c>
      <c r="G27" s="51">
        <f t="shared" si="3"/>
        <v>18.08</v>
      </c>
      <c r="H27" s="2"/>
      <c r="I27" s="2"/>
      <c r="J27" s="2"/>
      <c r="K27" s="2"/>
      <c r="L27" s="2"/>
      <c r="M27" s="2"/>
      <c r="N27" s="2"/>
      <c r="O27" s="2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2"/>
      <c r="B28" s="31" t="s">
        <v>12</v>
      </c>
      <c r="C28" s="50">
        <v>11.98</v>
      </c>
      <c r="D28" s="50">
        <v>2.75</v>
      </c>
      <c r="E28" s="50">
        <v>6.4</v>
      </c>
      <c r="F28" s="50">
        <v>11.99</v>
      </c>
      <c r="G28" s="51">
        <f t="shared" si="3"/>
        <v>8.28</v>
      </c>
      <c r="H28" s="2"/>
      <c r="I28" s="2"/>
      <c r="J28" s="2"/>
      <c r="K28" s="2"/>
      <c r="L28" s="2"/>
      <c r="M28" s="2"/>
      <c r="N28" s="2"/>
      <c r="O28" s="2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>
      <c r="A29" s="2"/>
      <c r="B29" s="31" t="s">
        <v>13</v>
      </c>
      <c r="C29" s="50">
        <v>11.0</v>
      </c>
      <c r="D29" s="50">
        <v>5.81</v>
      </c>
      <c r="E29" s="50">
        <v>13.13</v>
      </c>
      <c r="F29" s="50">
        <v>21.35</v>
      </c>
      <c r="G29" s="51">
        <f t="shared" si="3"/>
        <v>12.8225</v>
      </c>
      <c r="H29" s="2"/>
      <c r="I29" s="2"/>
      <c r="J29" s="2"/>
      <c r="K29" s="2"/>
      <c r="L29" s="2"/>
      <c r="M29" s="2"/>
      <c r="N29" s="2"/>
      <c r="O29" s="2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>
      <c r="A30" s="2"/>
      <c r="B30" s="31" t="s">
        <v>14</v>
      </c>
      <c r="C30" s="50">
        <v>49.84</v>
      </c>
      <c r="D30" s="50">
        <v>12.06</v>
      </c>
      <c r="E30" s="50">
        <v>29.45</v>
      </c>
      <c r="F30" s="50">
        <v>47.98</v>
      </c>
      <c r="G30" s="51">
        <f t="shared" si="3"/>
        <v>34.8325</v>
      </c>
      <c r="H30" s="2"/>
      <c r="I30" s="2"/>
      <c r="J30" s="2"/>
      <c r="K30" s="2"/>
      <c r="L30" s="2"/>
      <c r="M30" s="2"/>
      <c r="N30" s="2"/>
      <c r="O30" s="2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>
      <c r="A31" s="2"/>
      <c r="B31" s="31" t="s">
        <v>15</v>
      </c>
      <c r="C31" s="50">
        <v>45.38</v>
      </c>
      <c r="D31" s="50">
        <v>12.8</v>
      </c>
      <c r="E31" s="50">
        <v>23.85</v>
      </c>
      <c r="F31" s="50">
        <v>52.96</v>
      </c>
      <c r="G31" s="51">
        <f t="shared" si="3"/>
        <v>33.7475</v>
      </c>
      <c r="H31" s="2"/>
      <c r="I31" s="2"/>
      <c r="J31" s="2"/>
      <c r="K31" s="2"/>
      <c r="L31" s="2"/>
      <c r="M31" s="2"/>
      <c r="N31" s="2"/>
      <c r="O31" s="2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>
      <c r="A32" s="2"/>
      <c r="B32" s="31" t="s">
        <v>16</v>
      </c>
      <c r="C32" s="50">
        <v>129.17</v>
      </c>
      <c r="D32" s="50">
        <v>31.06</v>
      </c>
      <c r="E32" s="50">
        <v>77.24</v>
      </c>
      <c r="F32" s="50">
        <v>170.35</v>
      </c>
      <c r="G32" s="51">
        <f t="shared" si="3"/>
        <v>101.955</v>
      </c>
      <c r="H32" s="2"/>
      <c r="I32" s="2"/>
      <c r="J32" s="2"/>
      <c r="K32" s="2"/>
      <c r="L32" s="2"/>
      <c r="M32" s="2"/>
      <c r="N32" s="2"/>
      <c r="O32" s="2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>
      <c r="A33" s="2"/>
      <c r="B33" s="31" t="s">
        <v>17</v>
      </c>
      <c r="C33" s="50">
        <v>284.72</v>
      </c>
      <c r="D33" s="50">
        <v>66.4</v>
      </c>
      <c r="E33" s="50">
        <v>157.3</v>
      </c>
      <c r="F33" s="50">
        <v>292.7</v>
      </c>
      <c r="G33" s="51">
        <f t="shared" si="3"/>
        <v>200.28</v>
      </c>
      <c r="H33" s="2"/>
      <c r="I33" s="2"/>
      <c r="J33" s="2"/>
      <c r="K33" s="2"/>
      <c r="L33" s="2"/>
      <c r="M33" s="2"/>
      <c r="N33" s="2"/>
      <c r="O33" s="2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>
      <c r="A34" s="2"/>
      <c r="B34" s="31" t="s">
        <v>18</v>
      </c>
      <c r="C34" s="50">
        <v>120.65</v>
      </c>
      <c r="D34" s="50">
        <v>49.17</v>
      </c>
      <c r="E34" s="50">
        <v>86.07</v>
      </c>
      <c r="F34" s="50">
        <v>144.05</v>
      </c>
      <c r="G34" s="51">
        <f t="shared" si="3"/>
        <v>99.985</v>
      </c>
      <c r="H34" s="2"/>
      <c r="I34" s="2"/>
      <c r="J34" s="2"/>
      <c r="K34" s="2"/>
      <c r="L34" s="2"/>
      <c r="M34" s="2"/>
      <c r="N34" s="2"/>
      <c r="O34" s="2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>
      <c r="A35" s="2"/>
      <c r="B35" s="31" t="s">
        <v>19</v>
      </c>
      <c r="C35" s="50">
        <v>74.29</v>
      </c>
      <c r="D35" s="50">
        <v>21.67</v>
      </c>
      <c r="E35" s="50">
        <v>52.4</v>
      </c>
      <c r="F35" s="50">
        <v>156.95</v>
      </c>
      <c r="G35" s="51">
        <f t="shared" si="3"/>
        <v>76.3275</v>
      </c>
      <c r="H35" s="2"/>
      <c r="I35" s="2"/>
      <c r="J35" s="2"/>
      <c r="K35" s="2"/>
      <c r="L35" s="2"/>
      <c r="M35" s="2"/>
      <c r="N35" s="2"/>
      <c r="O35" s="2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>
      <c r="A36" s="2"/>
      <c r="B36" s="31" t="s">
        <v>20</v>
      </c>
      <c r="C36" s="50">
        <v>273.95</v>
      </c>
      <c r="D36" s="50">
        <v>63.18</v>
      </c>
      <c r="E36" s="50">
        <v>144.26</v>
      </c>
      <c r="F36" s="50">
        <v>283.49</v>
      </c>
      <c r="G36" s="51">
        <f t="shared" si="3"/>
        <v>191.22</v>
      </c>
      <c r="H36" s="2"/>
      <c r="I36" s="2"/>
      <c r="J36" s="2"/>
      <c r="K36" s="2"/>
      <c r="L36" s="2"/>
      <c r="M36" s="2"/>
      <c r="N36" s="2"/>
      <c r="O36" s="2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2"/>
      <c r="B37" s="31" t="s">
        <v>21</v>
      </c>
      <c r="C37" s="50">
        <v>126.61</v>
      </c>
      <c r="D37" s="50">
        <v>46.85</v>
      </c>
      <c r="E37" s="50">
        <v>109.45</v>
      </c>
      <c r="F37" s="50">
        <v>183.78</v>
      </c>
      <c r="G37" s="51">
        <f t="shared" si="3"/>
        <v>116.6725</v>
      </c>
      <c r="H37" s="2"/>
      <c r="I37" s="2"/>
      <c r="J37" s="2"/>
      <c r="K37" s="2"/>
      <c r="L37" s="2"/>
      <c r="M37" s="2"/>
      <c r="N37" s="2"/>
      <c r="O37" s="2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2"/>
      <c r="B38" s="26" t="s">
        <v>113</v>
      </c>
      <c r="C38" s="51">
        <f t="shared" ref="C38:F38" si="4">AVERAGE(C26:C37)</f>
        <v>99.53916667</v>
      </c>
      <c r="D38" s="51">
        <f t="shared" si="4"/>
        <v>27.36583333</v>
      </c>
      <c r="E38" s="51">
        <f t="shared" si="4"/>
        <v>61.1875</v>
      </c>
      <c r="F38" s="51">
        <f t="shared" si="4"/>
        <v>118.9616667</v>
      </c>
      <c r="G38" s="52" t="s">
        <v>114</v>
      </c>
      <c r="H38" s="2"/>
      <c r="I38" s="2"/>
      <c r="J38" s="2"/>
      <c r="K38" s="2"/>
      <c r="L38" s="2"/>
      <c r="M38" s="2"/>
      <c r="N38" s="2"/>
      <c r="O38" s="2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2"/>
      <c r="B40" s="29" t="s">
        <v>115</v>
      </c>
      <c r="C40" s="16"/>
      <c r="D40" s="16"/>
      <c r="E40" s="16"/>
      <c r="F40" s="2"/>
      <c r="G40" s="29" t="s">
        <v>116</v>
      </c>
      <c r="H40" s="16"/>
      <c r="I40" s="16"/>
      <c r="J40" s="16"/>
      <c r="K40" s="16"/>
      <c r="L40" s="2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33.75" customHeight="1">
      <c r="A41" s="2"/>
      <c r="B41" s="19" t="s">
        <v>38</v>
      </c>
      <c r="C41" s="20" t="s">
        <v>117</v>
      </c>
      <c r="D41" s="20" t="s">
        <v>118</v>
      </c>
      <c r="E41" s="21" t="s">
        <v>22</v>
      </c>
      <c r="F41" s="2"/>
      <c r="G41" s="19" t="s">
        <v>38</v>
      </c>
      <c r="H41" s="20" t="s">
        <v>119</v>
      </c>
      <c r="I41" s="20" t="s">
        <v>120</v>
      </c>
      <c r="J41" s="20" t="s">
        <v>121</v>
      </c>
      <c r="K41" s="21" t="s">
        <v>22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5.5" customHeight="1">
      <c r="A42" s="2"/>
      <c r="B42" s="31" t="s">
        <v>10</v>
      </c>
      <c r="C42" s="53">
        <v>2831.0</v>
      </c>
      <c r="D42" s="53">
        <v>16.0</v>
      </c>
      <c r="E42" s="24">
        <f t="shared" ref="E42:E53" si="5">SUM(C42:D42)</f>
        <v>2847</v>
      </c>
      <c r="F42" s="2"/>
      <c r="G42" s="31" t="s">
        <v>10</v>
      </c>
      <c r="H42" s="53">
        <v>2841.0</v>
      </c>
      <c r="I42" s="53">
        <v>4.0</v>
      </c>
      <c r="J42" s="53">
        <v>2.0</v>
      </c>
      <c r="K42" s="24">
        <f t="shared" ref="K42:K53" si="6">SUM(H42:J42)</f>
        <v>2847</v>
      </c>
      <c r="M42" s="2"/>
      <c r="N42" s="2"/>
      <c r="O42" s="2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>
      <c r="A43" s="2"/>
      <c r="B43" s="31" t="s">
        <v>11</v>
      </c>
      <c r="C43" s="53">
        <v>2981.0</v>
      </c>
      <c r="D43" s="53">
        <v>181.0</v>
      </c>
      <c r="E43" s="24">
        <f t="shared" si="5"/>
        <v>3162</v>
      </c>
      <c r="F43" s="2"/>
      <c r="G43" s="31" t="s">
        <v>11</v>
      </c>
      <c r="H43" s="53">
        <v>3079.0</v>
      </c>
      <c r="I43" s="53">
        <v>8.0</v>
      </c>
      <c r="J43" s="53">
        <v>75.0</v>
      </c>
      <c r="K43" s="24">
        <f t="shared" si="6"/>
        <v>3162</v>
      </c>
      <c r="M43" s="2"/>
      <c r="N43" s="2"/>
      <c r="O43" s="2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>
      <c r="A44" s="2"/>
      <c r="B44" s="31" t="s">
        <v>12</v>
      </c>
      <c r="C44" s="53">
        <v>1794.0</v>
      </c>
      <c r="D44" s="53">
        <v>421.0</v>
      </c>
      <c r="E44" s="24">
        <f t="shared" si="5"/>
        <v>2215</v>
      </c>
      <c r="F44" s="2"/>
      <c r="G44" s="31" t="s">
        <v>12</v>
      </c>
      <c r="H44" s="53">
        <v>2108.0</v>
      </c>
      <c r="I44" s="53">
        <v>3.0</v>
      </c>
      <c r="J44" s="53">
        <v>104.0</v>
      </c>
      <c r="K44" s="24">
        <f t="shared" si="6"/>
        <v>2215</v>
      </c>
      <c r="M44" s="2"/>
      <c r="N44" s="2"/>
      <c r="O44" s="2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>
      <c r="A45" s="2"/>
      <c r="B45" s="31" t="s">
        <v>13</v>
      </c>
      <c r="C45" s="53">
        <v>4498.0</v>
      </c>
      <c r="D45" s="53">
        <v>44.0</v>
      </c>
      <c r="E45" s="24">
        <f t="shared" si="5"/>
        <v>4542</v>
      </c>
      <c r="F45" s="2"/>
      <c r="G45" s="31" t="s">
        <v>13</v>
      </c>
      <c r="H45" s="53">
        <v>4479.0</v>
      </c>
      <c r="I45" s="53">
        <v>3.0</v>
      </c>
      <c r="J45" s="53">
        <v>60.0</v>
      </c>
      <c r="K45" s="24">
        <f t="shared" si="6"/>
        <v>4542</v>
      </c>
      <c r="M45" s="2"/>
      <c r="N45" s="2"/>
      <c r="O45" s="2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>
      <c r="A46" s="2"/>
      <c r="B46" s="31" t="s">
        <v>14</v>
      </c>
      <c r="C46" s="53">
        <v>3436.0</v>
      </c>
      <c r="D46" s="53">
        <v>87.0</v>
      </c>
      <c r="E46" s="24">
        <f t="shared" si="5"/>
        <v>3523</v>
      </c>
      <c r="F46" s="2"/>
      <c r="G46" s="31" t="s">
        <v>14</v>
      </c>
      <c r="H46" s="53">
        <v>3516.0</v>
      </c>
      <c r="I46" s="53">
        <v>2.0</v>
      </c>
      <c r="J46" s="53">
        <v>5.0</v>
      </c>
      <c r="K46" s="24">
        <f t="shared" si="6"/>
        <v>3523</v>
      </c>
      <c r="M46" s="2"/>
      <c r="N46" s="2"/>
      <c r="O46" s="2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>
      <c r="A47" s="2"/>
      <c r="B47" s="31" t="s">
        <v>15</v>
      </c>
      <c r="C47" s="53">
        <v>11563.0</v>
      </c>
      <c r="D47" s="53">
        <v>69.0</v>
      </c>
      <c r="E47" s="24">
        <f t="shared" si="5"/>
        <v>11632</v>
      </c>
      <c r="F47" s="2"/>
      <c r="G47" s="31" t="s">
        <v>15</v>
      </c>
      <c r="H47" s="53">
        <v>11461.0</v>
      </c>
      <c r="I47" s="53">
        <v>8.0</v>
      </c>
      <c r="J47" s="53">
        <v>163.0</v>
      </c>
      <c r="K47" s="24">
        <f t="shared" si="6"/>
        <v>11632</v>
      </c>
      <c r="M47" s="2"/>
      <c r="N47" s="2"/>
      <c r="O47" s="2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>
      <c r="A48" s="2"/>
      <c r="B48" s="31" t="s">
        <v>16</v>
      </c>
      <c r="C48" s="53">
        <v>12664.0</v>
      </c>
      <c r="D48" s="53">
        <v>52.0</v>
      </c>
      <c r="E48" s="24">
        <f t="shared" si="5"/>
        <v>12716</v>
      </c>
      <c r="F48" s="2"/>
      <c r="G48" s="31" t="s">
        <v>16</v>
      </c>
      <c r="H48" s="53">
        <v>12541.0</v>
      </c>
      <c r="I48" s="53">
        <v>50.0</v>
      </c>
      <c r="J48" s="53">
        <v>125.0</v>
      </c>
      <c r="K48" s="24">
        <f t="shared" si="6"/>
        <v>12716</v>
      </c>
      <c r="M48" s="2"/>
      <c r="N48" s="2"/>
      <c r="O48" s="2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2"/>
      <c r="B49" s="31" t="s">
        <v>17</v>
      </c>
      <c r="C49" s="53">
        <v>7114.0</v>
      </c>
      <c r="D49" s="53">
        <v>10.0</v>
      </c>
      <c r="E49" s="24">
        <f t="shared" si="5"/>
        <v>7124</v>
      </c>
      <c r="F49" s="2"/>
      <c r="G49" s="31" t="s">
        <v>17</v>
      </c>
      <c r="H49" s="53">
        <v>7065.0</v>
      </c>
      <c r="I49" s="53">
        <v>7.0</v>
      </c>
      <c r="J49" s="53">
        <v>52.0</v>
      </c>
      <c r="K49" s="24">
        <f t="shared" si="6"/>
        <v>7124</v>
      </c>
      <c r="M49" s="2"/>
      <c r="N49" s="2"/>
      <c r="O49" s="2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2"/>
      <c r="B50" s="31" t="s">
        <v>18</v>
      </c>
      <c r="C50" s="53">
        <v>6694.0</v>
      </c>
      <c r="D50" s="53">
        <v>19.0</v>
      </c>
      <c r="E50" s="24">
        <f t="shared" si="5"/>
        <v>6713</v>
      </c>
      <c r="F50" s="2"/>
      <c r="G50" s="31" t="s">
        <v>18</v>
      </c>
      <c r="H50" s="53">
        <v>6677.0</v>
      </c>
      <c r="I50" s="53">
        <v>4.0</v>
      </c>
      <c r="J50" s="53">
        <v>32.0</v>
      </c>
      <c r="K50" s="24">
        <f t="shared" si="6"/>
        <v>6713</v>
      </c>
      <c r="M50" s="2"/>
      <c r="N50" s="2"/>
      <c r="O50" s="2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>
      <c r="A51" s="2"/>
      <c r="B51" s="31" t="s">
        <v>19</v>
      </c>
      <c r="C51" s="53">
        <v>6324.0</v>
      </c>
      <c r="D51" s="53">
        <v>19.0</v>
      </c>
      <c r="E51" s="24">
        <f t="shared" si="5"/>
        <v>6343</v>
      </c>
      <c r="F51" s="2"/>
      <c r="G51" s="31" t="s">
        <v>19</v>
      </c>
      <c r="H51" s="53">
        <v>6117.0</v>
      </c>
      <c r="I51" s="53">
        <v>10.0</v>
      </c>
      <c r="J51" s="53">
        <v>216.0</v>
      </c>
      <c r="K51" s="24">
        <f t="shared" si="6"/>
        <v>6343</v>
      </c>
      <c r="M51" s="2"/>
      <c r="N51" s="2"/>
      <c r="O51" s="2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2"/>
      <c r="B52" s="31" t="s">
        <v>20</v>
      </c>
      <c r="C52" s="53">
        <v>9828.0</v>
      </c>
      <c r="D52" s="53">
        <v>33.0</v>
      </c>
      <c r="E52" s="24">
        <f t="shared" si="5"/>
        <v>9861</v>
      </c>
      <c r="F52" s="2"/>
      <c r="G52" s="31" t="s">
        <v>20</v>
      </c>
      <c r="H52" s="53">
        <v>9809.0</v>
      </c>
      <c r="I52" s="53">
        <v>11.0</v>
      </c>
      <c r="J52" s="53">
        <v>41.0</v>
      </c>
      <c r="K52" s="24">
        <f t="shared" si="6"/>
        <v>9861</v>
      </c>
      <c r="M52" s="2"/>
      <c r="N52" s="2"/>
      <c r="O52" s="2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>
      <c r="A53" s="2"/>
      <c r="B53" s="31" t="s">
        <v>21</v>
      </c>
      <c r="C53" s="53">
        <v>5912.0</v>
      </c>
      <c r="D53" s="53">
        <v>14.0</v>
      </c>
      <c r="E53" s="24">
        <f t="shared" si="5"/>
        <v>5926</v>
      </c>
      <c r="F53" s="2"/>
      <c r="G53" s="31" t="s">
        <v>21</v>
      </c>
      <c r="H53" s="53">
        <v>5917.0</v>
      </c>
      <c r="I53" s="53">
        <v>4.0</v>
      </c>
      <c r="J53" s="53">
        <v>5.0</v>
      </c>
      <c r="K53" s="24">
        <f t="shared" si="6"/>
        <v>5926</v>
      </c>
      <c r="M53" s="2"/>
      <c r="N53" s="2"/>
      <c r="O53" s="2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2"/>
      <c r="B54" s="26" t="s">
        <v>22</v>
      </c>
      <c r="C54" s="24">
        <f t="shared" ref="C54:E54" si="7">SUM(C42:C53)</f>
        <v>75639</v>
      </c>
      <c r="D54" s="24">
        <f t="shared" si="7"/>
        <v>965</v>
      </c>
      <c r="E54" s="27">
        <f t="shared" si="7"/>
        <v>76604</v>
      </c>
      <c r="F54" s="2"/>
      <c r="G54" s="26" t="s">
        <v>22</v>
      </c>
      <c r="H54" s="24">
        <f t="shared" ref="H54:K54" si="8">SUM(H42:H53)</f>
        <v>75610</v>
      </c>
      <c r="I54" s="24">
        <f t="shared" si="8"/>
        <v>114</v>
      </c>
      <c r="J54" s="24">
        <f t="shared" si="8"/>
        <v>880</v>
      </c>
      <c r="K54" s="27">
        <f t="shared" si="8"/>
        <v>76604</v>
      </c>
      <c r="M54" s="2"/>
      <c r="N54" s="2"/>
      <c r="O54" s="2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>
      <c r="A56" s="2"/>
      <c r="B56" s="2"/>
      <c r="C56" s="2"/>
      <c r="D56" s="2"/>
      <c r="E56" s="2"/>
      <c r="F56" s="2"/>
      <c r="G56" s="2"/>
      <c r="H56" s="18"/>
      <c r="I56" s="18"/>
      <c r="J56" s="18"/>
      <c r="K56" s="2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22.5" customHeight="1">
      <c r="A57" s="2"/>
      <c r="B57" s="29" t="s">
        <v>122</v>
      </c>
      <c r="C57" s="16"/>
      <c r="D57" s="16"/>
      <c r="E57" s="16"/>
      <c r="F57" s="16"/>
      <c r="G57" s="16"/>
      <c r="H57" s="16"/>
      <c r="I57" s="16"/>
      <c r="J57" s="17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>
      <c r="A58" s="2"/>
      <c r="B58" s="19" t="s">
        <v>38</v>
      </c>
      <c r="C58" s="20" t="s">
        <v>123</v>
      </c>
      <c r="D58" s="20" t="s">
        <v>124</v>
      </c>
      <c r="E58" s="20" t="s">
        <v>125</v>
      </c>
      <c r="F58" s="20" t="s">
        <v>126</v>
      </c>
      <c r="G58" s="20" t="s">
        <v>127</v>
      </c>
      <c r="H58" s="20" t="s">
        <v>128</v>
      </c>
      <c r="I58" s="20" t="s">
        <v>129</v>
      </c>
      <c r="J58" s="21" t="s">
        <v>22</v>
      </c>
      <c r="K58" s="18"/>
      <c r="L58" s="18"/>
      <c r="M58" s="18"/>
      <c r="N58" s="30"/>
      <c r="O58" s="30"/>
      <c r="P58" s="30"/>
      <c r="Q58" s="30"/>
      <c r="R58" s="30"/>
      <c r="S58" s="30"/>
      <c r="T58" s="18"/>
      <c r="U58" s="18"/>
      <c r="V58" s="18"/>
      <c r="W58" s="18"/>
      <c r="X58" s="18"/>
      <c r="Y58" s="18"/>
    </row>
    <row r="59">
      <c r="A59" s="2"/>
      <c r="B59" s="31" t="s">
        <v>10</v>
      </c>
      <c r="C59" s="40">
        <v>14.0</v>
      </c>
      <c r="D59" s="40">
        <v>357.0</v>
      </c>
      <c r="E59" s="40">
        <v>823.0</v>
      </c>
      <c r="F59" s="40">
        <v>744.0</v>
      </c>
      <c r="G59" s="40">
        <v>834.0</v>
      </c>
      <c r="H59" s="40">
        <v>57.0</v>
      </c>
      <c r="I59" s="40">
        <v>11.0</v>
      </c>
      <c r="J59" s="24">
        <f t="shared" ref="J59:J70" si="9">SUM(C59:I59)</f>
        <v>2840</v>
      </c>
      <c r="K59" s="18"/>
      <c r="L59" s="18"/>
      <c r="M59" s="18"/>
      <c r="N59" s="30"/>
      <c r="O59" s="30"/>
      <c r="P59" s="30"/>
      <c r="Q59" s="30"/>
      <c r="R59" s="30"/>
      <c r="S59" s="30"/>
      <c r="T59" s="18"/>
      <c r="U59" s="18"/>
      <c r="V59" s="18"/>
      <c r="W59" s="18"/>
      <c r="X59" s="18"/>
      <c r="Y59" s="18"/>
    </row>
    <row r="60">
      <c r="A60" s="2"/>
      <c r="B60" s="31" t="s">
        <v>11</v>
      </c>
      <c r="C60" s="40">
        <v>48.0</v>
      </c>
      <c r="D60" s="40">
        <v>293.0</v>
      </c>
      <c r="E60" s="40">
        <v>589.0</v>
      </c>
      <c r="F60" s="40">
        <v>779.0</v>
      </c>
      <c r="G60" s="40">
        <v>1185.0</v>
      </c>
      <c r="H60" s="40">
        <v>121.0</v>
      </c>
      <c r="I60" s="40">
        <v>63.0</v>
      </c>
      <c r="J60" s="24">
        <f t="shared" si="9"/>
        <v>3078</v>
      </c>
      <c r="K60" s="18"/>
      <c r="L60" s="18"/>
      <c r="M60" s="18"/>
      <c r="N60" s="30"/>
      <c r="O60" s="30"/>
      <c r="P60" s="30"/>
      <c r="Q60" s="30"/>
      <c r="R60" s="30"/>
      <c r="S60" s="30"/>
      <c r="T60" s="18"/>
      <c r="U60" s="18"/>
      <c r="V60" s="18"/>
      <c r="W60" s="18"/>
      <c r="X60" s="18"/>
      <c r="Y60" s="18"/>
    </row>
    <row r="61">
      <c r="A61" s="2"/>
      <c r="B61" s="31" t="s">
        <v>12</v>
      </c>
      <c r="C61" s="40">
        <v>20.0</v>
      </c>
      <c r="D61" s="40">
        <v>183.0</v>
      </c>
      <c r="E61" s="40">
        <v>532.0</v>
      </c>
      <c r="F61" s="40">
        <v>541.0</v>
      </c>
      <c r="G61" s="40">
        <v>651.0</v>
      </c>
      <c r="H61" s="40">
        <v>131.0</v>
      </c>
      <c r="I61" s="40">
        <v>49.0</v>
      </c>
      <c r="J61" s="24">
        <f t="shared" si="9"/>
        <v>2107</v>
      </c>
      <c r="K61" s="18"/>
      <c r="L61" s="18"/>
      <c r="M61" s="18"/>
      <c r="N61" s="30"/>
      <c r="O61" s="30"/>
      <c r="P61" s="30"/>
      <c r="Q61" s="30"/>
      <c r="R61" s="30"/>
      <c r="S61" s="30"/>
      <c r="T61" s="18"/>
      <c r="U61" s="18"/>
      <c r="V61" s="18"/>
      <c r="W61" s="18"/>
      <c r="X61" s="18"/>
      <c r="Y61" s="18"/>
    </row>
    <row r="62">
      <c r="A62" s="2"/>
      <c r="B62" s="31" t="s">
        <v>13</v>
      </c>
      <c r="C62" s="40">
        <v>46.0</v>
      </c>
      <c r="D62" s="40">
        <v>308.0</v>
      </c>
      <c r="E62" s="40">
        <v>1278.0</v>
      </c>
      <c r="F62" s="40">
        <v>1231.0</v>
      </c>
      <c r="G62" s="40">
        <v>1219.0</v>
      </c>
      <c r="H62" s="40">
        <v>259.0</v>
      </c>
      <c r="I62" s="40">
        <v>138.0</v>
      </c>
      <c r="J62" s="24">
        <f t="shared" si="9"/>
        <v>4479</v>
      </c>
      <c r="K62" s="18"/>
      <c r="L62" s="18"/>
      <c r="M62" s="18"/>
      <c r="N62" s="18"/>
      <c r="O62" s="18"/>
      <c r="P62" s="18"/>
      <c r="Q62" s="18"/>
      <c r="R62" s="30"/>
      <c r="S62" s="30"/>
      <c r="T62" s="18"/>
      <c r="U62" s="18"/>
      <c r="V62" s="18"/>
      <c r="W62" s="18"/>
      <c r="X62" s="18"/>
      <c r="Y62" s="18"/>
    </row>
    <row r="63">
      <c r="A63" s="2"/>
      <c r="B63" s="31" t="s">
        <v>14</v>
      </c>
      <c r="C63" s="40">
        <v>2.0</v>
      </c>
      <c r="D63" s="40">
        <v>31.0</v>
      </c>
      <c r="E63" s="40">
        <v>76.0</v>
      </c>
      <c r="F63" s="40">
        <v>299.0</v>
      </c>
      <c r="G63" s="40">
        <v>3097.0</v>
      </c>
      <c r="H63" s="40">
        <v>7.0</v>
      </c>
      <c r="I63" s="40">
        <v>4.0</v>
      </c>
      <c r="J63" s="24">
        <f t="shared" si="9"/>
        <v>3516</v>
      </c>
      <c r="K63" s="18"/>
      <c r="L63" s="18"/>
      <c r="M63" s="18"/>
      <c r="N63" s="18"/>
      <c r="O63" s="18"/>
      <c r="P63" s="18"/>
      <c r="Q63" s="18"/>
      <c r="R63" s="30"/>
      <c r="S63" s="30"/>
      <c r="T63" s="18"/>
      <c r="U63" s="18"/>
      <c r="V63" s="18"/>
      <c r="W63" s="18"/>
      <c r="X63" s="18"/>
      <c r="Y63" s="18"/>
    </row>
    <row r="64">
      <c r="A64" s="2"/>
      <c r="B64" s="31" t="s">
        <v>15</v>
      </c>
      <c r="C64" s="40">
        <v>82.0</v>
      </c>
      <c r="D64" s="40">
        <v>972.0</v>
      </c>
      <c r="E64" s="40">
        <v>2524.0</v>
      </c>
      <c r="F64" s="40">
        <v>2157.0</v>
      </c>
      <c r="G64" s="40">
        <v>4681.0</v>
      </c>
      <c r="H64" s="40">
        <v>642.0</v>
      </c>
      <c r="I64" s="40">
        <v>401.0</v>
      </c>
      <c r="J64" s="24">
        <f t="shared" si="9"/>
        <v>11459</v>
      </c>
      <c r="K64" s="18"/>
      <c r="L64" s="18"/>
      <c r="M64" s="18"/>
      <c r="N64" s="18"/>
      <c r="O64" s="18"/>
      <c r="P64" s="18"/>
      <c r="Q64" s="18"/>
      <c r="R64" s="30"/>
      <c r="S64" s="30"/>
      <c r="T64" s="18"/>
      <c r="U64" s="18"/>
      <c r="V64" s="18"/>
      <c r="W64" s="18"/>
      <c r="X64" s="18"/>
      <c r="Y64" s="18"/>
    </row>
    <row r="65">
      <c r="A65" s="2"/>
      <c r="B65" s="31" t="s">
        <v>16</v>
      </c>
      <c r="C65" s="40">
        <v>90.0</v>
      </c>
      <c r="D65" s="40">
        <v>1147.0</v>
      </c>
      <c r="E65" s="40">
        <v>3218.0</v>
      </c>
      <c r="F65" s="40">
        <v>2974.0</v>
      </c>
      <c r="G65" s="40">
        <v>3868.0</v>
      </c>
      <c r="H65" s="40">
        <v>776.0</v>
      </c>
      <c r="I65" s="40">
        <v>458.0</v>
      </c>
      <c r="J65" s="24">
        <f t="shared" si="9"/>
        <v>12531</v>
      </c>
      <c r="K65" s="18"/>
      <c r="L65" s="18"/>
      <c r="M65" s="18"/>
      <c r="N65" s="18"/>
      <c r="O65" s="18"/>
      <c r="P65" s="18"/>
      <c r="Q65" s="18"/>
      <c r="R65" s="30"/>
      <c r="S65" s="30"/>
      <c r="T65" s="18"/>
      <c r="U65" s="18"/>
      <c r="V65" s="18"/>
      <c r="W65" s="18"/>
      <c r="X65" s="18"/>
      <c r="Y65" s="18"/>
    </row>
    <row r="66">
      <c r="A66" s="2"/>
      <c r="B66" s="31" t="s">
        <v>17</v>
      </c>
      <c r="C66" s="40">
        <v>74.0</v>
      </c>
      <c r="D66" s="40">
        <v>1008.0</v>
      </c>
      <c r="E66" s="40">
        <v>2091.0</v>
      </c>
      <c r="F66" s="40">
        <v>1783.0</v>
      </c>
      <c r="G66" s="40">
        <v>1628.0</v>
      </c>
      <c r="H66" s="40">
        <v>335.0</v>
      </c>
      <c r="I66" s="40">
        <v>145.0</v>
      </c>
      <c r="J66" s="24">
        <f t="shared" si="9"/>
        <v>7064</v>
      </c>
      <c r="K66" s="18"/>
      <c r="L66" s="18"/>
      <c r="M66" s="18"/>
      <c r="N66" s="18"/>
      <c r="O66" s="18"/>
      <c r="P66" s="18"/>
      <c r="Q66" s="18"/>
      <c r="R66" s="30"/>
      <c r="S66" s="30"/>
      <c r="T66" s="18"/>
      <c r="U66" s="18"/>
      <c r="V66" s="18"/>
      <c r="W66" s="18"/>
      <c r="X66" s="18"/>
      <c r="Y66" s="18"/>
    </row>
    <row r="67">
      <c r="A67" s="2"/>
      <c r="B67" s="31" t="s">
        <v>18</v>
      </c>
      <c r="C67" s="40">
        <v>37.0</v>
      </c>
      <c r="D67" s="40">
        <v>533.0</v>
      </c>
      <c r="E67" s="40">
        <v>1497.0</v>
      </c>
      <c r="F67" s="40">
        <v>1539.0</v>
      </c>
      <c r="G67" s="40">
        <v>2707.0</v>
      </c>
      <c r="H67" s="40">
        <v>231.0</v>
      </c>
      <c r="I67" s="40">
        <v>132.0</v>
      </c>
      <c r="J67" s="24">
        <f t="shared" si="9"/>
        <v>6676</v>
      </c>
      <c r="K67" s="18"/>
      <c r="L67" s="18"/>
      <c r="M67" s="18"/>
      <c r="N67" s="18"/>
      <c r="O67" s="18"/>
      <c r="P67" s="18"/>
      <c r="Q67" s="18"/>
      <c r="R67" s="30"/>
      <c r="S67" s="30"/>
      <c r="T67" s="18"/>
      <c r="U67" s="18"/>
      <c r="V67" s="18"/>
      <c r="W67" s="18"/>
      <c r="X67" s="18"/>
      <c r="Y67" s="18"/>
    </row>
    <row r="68">
      <c r="A68" s="2"/>
      <c r="B68" s="31" t="s">
        <v>19</v>
      </c>
      <c r="C68" s="40">
        <v>51.0</v>
      </c>
      <c r="D68" s="40">
        <v>569.0</v>
      </c>
      <c r="E68" s="40">
        <v>1501.0</v>
      </c>
      <c r="F68" s="40">
        <v>1460.0</v>
      </c>
      <c r="G68" s="40">
        <v>1957.0</v>
      </c>
      <c r="H68" s="40">
        <v>372.0</v>
      </c>
      <c r="I68" s="40">
        <v>205.0</v>
      </c>
      <c r="J68" s="24">
        <f t="shared" si="9"/>
        <v>6115</v>
      </c>
      <c r="K68" s="18"/>
      <c r="L68" s="18"/>
      <c r="M68" s="18"/>
      <c r="N68" s="18"/>
      <c r="O68" s="18"/>
      <c r="P68" s="18"/>
      <c r="Q68" s="18"/>
      <c r="R68" s="30"/>
      <c r="S68" s="30"/>
      <c r="T68" s="18"/>
      <c r="U68" s="18"/>
      <c r="V68" s="18"/>
      <c r="W68" s="18"/>
      <c r="X68" s="18"/>
      <c r="Y68" s="18"/>
    </row>
    <row r="69">
      <c r="A69" s="2"/>
      <c r="B69" s="31" t="s">
        <v>20</v>
      </c>
      <c r="C69" s="40">
        <v>79.0</v>
      </c>
      <c r="D69" s="40">
        <v>1266.0</v>
      </c>
      <c r="E69" s="40">
        <v>2926.0</v>
      </c>
      <c r="F69" s="40">
        <v>2184.0</v>
      </c>
      <c r="G69" s="40">
        <v>2802.0</v>
      </c>
      <c r="H69" s="40">
        <v>359.0</v>
      </c>
      <c r="I69" s="40">
        <v>191.0</v>
      </c>
      <c r="J69" s="24">
        <f t="shared" si="9"/>
        <v>9807</v>
      </c>
      <c r="K69" s="18"/>
      <c r="L69" s="18"/>
      <c r="M69" s="18"/>
      <c r="N69" s="18"/>
      <c r="O69" s="18"/>
      <c r="P69" s="18"/>
      <c r="Q69" s="18"/>
      <c r="R69" s="30"/>
      <c r="S69" s="30"/>
      <c r="T69" s="18"/>
      <c r="U69" s="18"/>
      <c r="V69" s="18"/>
      <c r="W69" s="18"/>
      <c r="X69" s="18"/>
      <c r="Y69" s="18"/>
    </row>
    <row r="70">
      <c r="A70" s="2"/>
      <c r="B70" s="31" t="s">
        <v>21</v>
      </c>
      <c r="C70" s="40">
        <v>23.0</v>
      </c>
      <c r="D70" s="40">
        <v>511.0</v>
      </c>
      <c r="E70" s="40">
        <v>1858.0</v>
      </c>
      <c r="F70" s="40">
        <v>1491.0</v>
      </c>
      <c r="G70" s="40">
        <v>1637.0</v>
      </c>
      <c r="H70" s="40">
        <v>264.0</v>
      </c>
      <c r="I70" s="40">
        <v>132.0</v>
      </c>
      <c r="J70" s="24">
        <f t="shared" si="9"/>
        <v>5916</v>
      </c>
      <c r="K70" s="18"/>
      <c r="L70" s="18"/>
      <c r="M70" s="18"/>
      <c r="N70" s="18"/>
      <c r="O70" s="18"/>
      <c r="P70" s="18"/>
      <c r="Q70" s="18"/>
      <c r="R70" s="30"/>
      <c r="S70" s="30"/>
      <c r="T70" s="18"/>
      <c r="U70" s="18"/>
      <c r="V70" s="18"/>
      <c r="W70" s="18"/>
      <c r="X70" s="18"/>
      <c r="Y70" s="18"/>
    </row>
    <row r="71">
      <c r="A71" s="2"/>
      <c r="B71" s="26" t="s">
        <v>22</v>
      </c>
      <c r="C71" s="24">
        <f t="shared" ref="C71:J71" si="10">SUM(C59:C70)</f>
        <v>566</v>
      </c>
      <c r="D71" s="24">
        <f t="shared" si="10"/>
        <v>7178</v>
      </c>
      <c r="E71" s="24">
        <f t="shared" si="10"/>
        <v>18913</v>
      </c>
      <c r="F71" s="24">
        <f t="shared" si="10"/>
        <v>17182</v>
      </c>
      <c r="G71" s="24">
        <f t="shared" si="10"/>
        <v>26266</v>
      </c>
      <c r="H71" s="24">
        <f t="shared" si="10"/>
        <v>3554</v>
      </c>
      <c r="I71" s="24">
        <f t="shared" si="10"/>
        <v>1929</v>
      </c>
      <c r="J71" s="27">
        <f t="shared" si="10"/>
        <v>75588</v>
      </c>
      <c r="K71" s="18"/>
      <c r="L71" s="18"/>
      <c r="M71" s="18"/>
      <c r="N71" s="18"/>
      <c r="O71" s="18"/>
      <c r="P71" s="18"/>
      <c r="Q71" s="18"/>
      <c r="R71" s="30"/>
      <c r="S71" s="30"/>
      <c r="T71" s="18"/>
      <c r="U71" s="18"/>
      <c r="V71" s="18"/>
      <c r="W71" s="18"/>
      <c r="X71" s="18"/>
      <c r="Y71" s="18"/>
    </row>
    <row r="72">
      <c r="A72" s="2"/>
      <c r="B72" s="2"/>
      <c r="C72" s="2"/>
      <c r="D72" s="2"/>
      <c r="E72" s="2"/>
      <c r="F72" s="2"/>
      <c r="G72" s="2"/>
      <c r="H72" s="18"/>
      <c r="I72" s="18"/>
      <c r="J72" s="18"/>
      <c r="K72" s="2"/>
      <c r="L72" s="18"/>
      <c r="M72" s="18"/>
      <c r="N72" s="18"/>
      <c r="O72" s="18"/>
      <c r="P72" s="18"/>
      <c r="Q72" s="18"/>
      <c r="R72" s="30"/>
      <c r="S72" s="30"/>
      <c r="T72" s="18"/>
      <c r="U72" s="18"/>
      <c r="V72" s="18"/>
      <c r="W72" s="18"/>
      <c r="X72" s="18"/>
      <c r="Y72" s="18"/>
    </row>
    <row r="73">
      <c r="A73" s="2"/>
      <c r="B73" s="29" t="s">
        <v>130</v>
      </c>
      <c r="C73" s="16"/>
      <c r="D73" s="16"/>
      <c r="E73" s="16"/>
      <c r="F73" s="16"/>
      <c r="G73" s="16"/>
      <c r="H73" s="17"/>
      <c r="K73" s="2"/>
      <c r="L73" s="18"/>
      <c r="M73" s="18"/>
      <c r="N73" s="18"/>
      <c r="O73" s="18"/>
      <c r="P73" s="18"/>
      <c r="Q73" s="18"/>
      <c r="R73" s="30"/>
      <c r="S73" s="30"/>
      <c r="T73" s="18"/>
      <c r="U73" s="18"/>
      <c r="V73" s="18"/>
      <c r="W73" s="18"/>
      <c r="X73" s="18"/>
      <c r="Y73" s="18"/>
    </row>
    <row r="74">
      <c r="A74" s="2"/>
      <c r="B74" s="19" t="s">
        <v>38</v>
      </c>
      <c r="C74" s="20" t="s">
        <v>87</v>
      </c>
      <c r="D74" s="20" t="s">
        <v>123</v>
      </c>
      <c r="E74" s="20" t="s">
        <v>124</v>
      </c>
      <c r="F74" s="20" t="s">
        <v>125</v>
      </c>
      <c r="G74" s="20" t="s">
        <v>131</v>
      </c>
      <c r="H74" s="21" t="s">
        <v>22</v>
      </c>
      <c r="K74" s="18"/>
      <c r="L74" s="18"/>
      <c r="M74" s="18"/>
      <c r="N74" s="18"/>
      <c r="O74" s="18"/>
      <c r="P74" s="18"/>
      <c r="Q74" s="18"/>
      <c r="R74" s="30"/>
      <c r="S74" s="30"/>
      <c r="T74" s="18"/>
      <c r="U74" s="18"/>
      <c r="V74" s="18"/>
      <c r="W74" s="18"/>
      <c r="X74" s="18"/>
      <c r="Y74" s="18"/>
    </row>
    <row r="75">
      <c r="A75" s="2"/>
      <c r="B75" s="31" t="s">
        <v>10</v>
      </c>
      <c r="C75" s="40">
        <v>1.0</v>
      </c>
      <c r="D75" s="40">
        <v>1604.0</v>
      </c>
      <c r="E75" s="40">
        <v>1174.0</v>
      </c>
      <c r="F75" s="40">
        <v>56.0</v>
      </c>
      <c r="G75" s="40">
        <v>6.0</v>
      </c>
      <c r="H75" s="24">
        <f t="shared" ref="H75:H86" si="11">SUM(C75:G75)</f>
        <v>2841</v>
      </c>
      <c r="I75" s="18"/>
      <c r="K75" s="18"/>
      <c r="L75" s="18"/>
      <c r="M75" s="18"/>
      <c r="N75" s="18"/>
      <c r="O75" s="18"/>
      <c r="P75" s="18"/>
      <c r="Q75" s="18"/>
      <c r="R75" s="30"/>
      <c r="S75" s="30"/>
      <c r="T75" s="18"/>
      <c r="U75" s="18"/>
      <c r="V75" s="18"/>
      <c r="W75" s="18"/>
      <c r="X75" s="18"/>
      <c r="Y75" s="18"/>
    </row>
    <row r="76">
      <c r="A76" s="2"/>
      <c r="B76" s="31" t="s">
        <v>11</v>
      </c>
      <c r="C76" s="40">
        <v>0.0</v>
      </c>
      <c r="D76" s="40">
        <v>1775.0</v>
      </c>
      <c r="E76" s="40">
        <v>1202.0</v>
      </c>
      <c r="F76" s="40">
        <v>93.0</v>
      </c>
      <c r="G76" s="40">
        <v>9.0</v>
      </c>
      <c r="H76" s="24">
        <f t="shared" si="11"/>
        <v>3079</v>
      </c>
      <c r="I76" s="18"/>
      <c r="K76" s="18"/>
      <c r="L76" s="18"/>
      <c r="M76" s="18"/>
      <c r="N76" s="18"/>
      <c r="O76" s="18"/>
      <c r="P76" s="18"/>
      <c r="Q76" s="18"/>
      <c r="R76" s="30"/>
      <c r="S76" s="30"/>
      <c r="T76" s="18"/>
      <c r="U76" s="18"/>
      <c r="V76" s="18"/>
      <c r="W76" s="18"/>
      <c r="X76" s="18"/>
      <c r="Y76" s="18"/>
    </row>
    <row r="77">
      <c r="A77" s="2"/>
      <c r="B77" s="31" t="s">
        <v>12</v>
      </c>
      <c r="C77" s="40">
        <v>1.0</v>
      </c>
      <c r="D77" s="40">
        <v>1173.0</v>
      </c>
      <c r="E77" s="40">
        <v>808.0</v>
      </c>
      <c r="F77" s="40">
        <v>118.0</v>
      </c>
      <c r="G77" s="40">
        <v>7.0</v>
      </c>
      <c r="H77" s="24">
        <f t="shared" si="11"/>
        <v>2107</v>
      </c>
      <c r="I77" s="18"/>
      <c r="K77" s="18"/>
      <c r="L77" s="18"/>
      <c r="M77" s="18"/>
      <c r="N77" s="18"/>
      <c r="O77" s="18"/>
      <c r="P77" s="18"/>
      <c r="Q77" s="18"/>
      <c r="R77" s="30"/>
      <c r="S77" s="30"/>
      <c r="T77" s="18"/>
      <c r="U77" s="18"/>
      <c r="V77" s="18"/>
      <c r="W77" s="18"/>
      <c r="X77" s="18"/>
      <c r="Y77" s="18"/>
    </row>
    <row r="78">
      <c r="A78" s="2"/>
      <c r="B78" s="31" t="s">
        <v>13</v>
      </c>
      <c r="C78" s="40">
        <v>0.0</v>
      </c>
      <c r="D78" s="40">
        <v>2448.0</v>
      </c>
      <c r="E78" s="40">
        <v>1799.0</v>
      </c>
      <c r="F78" s="40">
        <v>211.0</v>
      </c>
      <c r="G78" s="40">
        <v>21.0</v>
      </c>
      <c r="H78" s="24">
        <f t="shared" si="11"/>
        <v>4479</v>
      </c>
      <c r="I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>
      <c r="A79" s="2"/>
      <c r="B79" s="31" t="s">
        <v>14</v>
      </c>
      <c r="C79" s="40">
        <v>0.0</v>
      </c>
      <c r="D79" s="40">
        <v>198.0</v>
      </c>
      <c r="E79" s="40">
        <v>3305.0</v>
      </c>
      <c r="F79" s="40">
        <v>10.0</v>
      </c>
      <c r="G79" s="40">
        <v>3.0</v>
      </c>
      <c r="H79" s="24">
        <f t="shared" si="11"/>
        <v>3516</v>
      </c>
      <c r="I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18.75" customHeight="1">
      <c r="A80" s="2"/>
      <c r="B80" s="31" t="s">
        <v>15</v>
      </c>
      <c r="C80" s="40">
        <v>7.0</v>
      </c>
      <c r="D80" s="40">
        <v>5056.0</v>
      </c>
      <c r="E80" s="40">
        <v>5598.0</v>
      </c>
      <c r="F80" s="40">
        <v>728.0</v>
      </c>
      <c r="G80" s="40">
        <v>70.0</v>
      </c>
      <c r="H80" s="24">
        <f t="shared" si="11"/>
        <v>11459</v>
      </c>
      <c r="I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>
      <c r="A81" s="2"/>
      <c r="B81" s="31" t="s">
        <v>16</v>
      </c>
      <c r="C81" s="40">
        <v>2.0</v>
      </c>
      <c r="D81" s="40">
        <v>7034.0</v>
      </c>
      <c r="E81" s="40">
        <v>4747.0</v>
      </c>
      <c r="F81" s="40">
        <v>694.0</v>
      </c>
      <c r="G81" s="40">
        <v>64.0</v>
      </c>
      <c r="H81" s="24">
        <f t="shared" si="11"/>
        <v>12541</v>
      </c>
      <c r="I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>
      <c r="A82" s="2"/>
      <c r="B82" s="31" t="s">
        <v>17</v>
      </c>
      <c r="C82" s="40">
        <v>0.0</v>
      </c>
      <c r="D82" s="40">
        <v>4516.0</v>
      </c>
      <c r="E82" s="40">
        <v>2205.0</v>
      </c>
      <c r="F82" s="40">
        <v>321.0</v>
      </c>
      <c r="G82" s="40">
        <v>22.0</v>
      </c>
      <c r="H82" s="24">
        <f t="shared" si="11"/>
        <v>7064</v>
      </c>
      <c r="I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>
      <c r="A83" s="2"/>
      <c r="B83" s="31" t="s">
        <v>18</v>
      </c>
      <c r="C83" s="40">
        <v>0.0</v>
      </c>
      <c r="D83" s="40">
        <v>3353.0</v>
      </c>
      <c r="E83" s="40">
        <v>3084.0</v>
      </c>
      <c r="F83" s="40">
        <v>216.0</v>
      </c>
      <c r="G83" s="40">
        <v>24.0</v>
      </c>
      <c r="H83" s="24">
        <f t="shared" si="11"/>
        <v>6677</v>
      </c>
      <c r="I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>
      <c r="A84" s="2"/>
      <c r="B84" s="31" t="s">
        <v>19</v>
      </c>
      <c r="C84" s="40">
        <v>1.0</v>
      </c>
      <c r="D84" s="40">
        <v>3418.0</v>
      </c>
      <c r="E84" s="40">
        <v>2331.0</v>
      </c>
      <c r="F84" s="40">
        <v>340.0</v>
      </c>
      <c r="G84" s="40">
        <v>27.0</v>
      </c>
      <c r="H84" s="24">
        <f t="shared" si="11"/>
        <v>6117</v>
      </c>
      <c r="I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>
      <c r="A85" s="2"/>
      <c r="B85" s="31" t="s">
        <v>20</v>
      </c>
      <c r="C85" s="40">
        <v>3.0</v>
      </c>
      <c r="D85" s="40">
        <v>6158.0</v>
      </c>
      <c r="E85" s="40">
        <v>3270.0</v>
      </c>
      <c r="F85" s="40">
        <v>353.0</v>
      </c>
      <c r="G85" s="40">
        <v>25.0</v>
      </c>
      <c r="H85" s="24">
        <f t="shared" si="11"/>
        <v>9809</v>
      </c>
      <c r="I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>
      <c r="A86" s="2"/>
      <c r="B86" s="31" t="s">
        <v>21</v>
      </c>
      <c r="C86" s="40">
        <v>4.0</v>
      </c>
      <c r="D86" s="40">
        <v>3637.0</v>
      </c>
      <c r="E86" s="40">
        <v>2056.0</v>
      </c>
      <c r="F86" s="40">
        <v>202.0</v>
      </c>
      <c r="G86" s="40">
        <v>17.0</v>
      </c>
      <c r="H86" s="24">
        <f t="shared" si="11"/>
        <v>5916</v>
      </c>
      <c r="I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>
      <c r="A87" s="2"/>
      <c r="B87" s="26" t="s">
        <v>22</v>
      </c>
      <c r="C87" s="24">
        <f t="shared" ref="C87:H87" si="12">SUM(C75:C86)</f>
        <v>19</v>
      </c>
      <c r="D87" s="24">
        <f t="shared" si="12"/>
        <v>40370</v>
      </c>
      <c r="E87" s="24">
        <f t="shared" si="12"/>
        <v>31579</v>
      </c>
      <c r="F87" s="24">
        <f t="shared" si="12"/>
        <v>3342</v>
      </c>
      <c r="G87" s="24">
        <f t="shared" si="12"/>
        <v>295</v>
      </c>
      <c r="H87" s="27">
        <f t="shared" si="12"/>
        <v>75605</v>
      </c>
      <c r="I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>
      <c r="A89" s="18"/>
      <c r="B89" s="29" t="s">
        <v>132</v>
      </c>
      <c r="C89" s="16"/>
      <c r="D89" s="16"/>
      <c r="E89" s="16"/>
      <c r="F89" s="16"/>
      <c r="G89" s="16"/>
      <c r="H89" s="16"/>
      <c r="I89" s="16"/>
      <c r="J89" s="16"/>
      <c r="K89" s="16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>
      <c r="A90" s="18"/>
      <c r="B90" s="19" t="s">
        <v>38</v>
      </c>
      <c r="C90" s="20" t="s">
        <v>133</v>
      </c>
      <c r="D90" s="54" t="s">
        <v>134</v>
      </c>
      <c r="E90" s="54" t="s">
        <v>135</v>
      </c>
      <c r="F90" s="20" t="s">
        <v>136</v>
      </c>
      <c r="G90" s="20" t="s">
        <v>137</v>
      </c>
      <c r="H90" s="20" t="s">
        <v>138</v>
      </c>
      <c r="I90" s="20" t="s">
        <v>139</v>
      </c>
      <c r="J90" s="20" t="s">
        <v>140</v>
      </c>
      <c r="K90" s="21" t="s">
        <v>22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>
      <c r="A91" s="18"/>
      <c r="B91" s="31" t="s">
        <v>10</v>
      </c>
      <c r="C91" s="40">
        <v>2574.0</v>
      </c>
      <c r="D91" s="55">
        <v>249.0</v>
      </c>
      <c r="E91" s="40">
        <v>6.0</v>
      </c>
      <c r="F91" s="40">
        <v>0.0</v>
      </c>
      <c r="G91" s="40">
        <v>0.0</v>
      </c>
      <c r="H91" s="40">
        <v>10.0</v>
      </c>
      <c r="I91" s="40">
        <v>0.0</v>
      </c>
      <c r="J91" s="40">
        <v>2.0</v>
      </c>
      <c r="K91" s="24">
        <f t="shared" ref="K91:K103" si="13">SUM(B91:J91)</f>
        <v>2841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>
      <c r="A92" s="18"/>
      <c r="B92" s="31" t="s">
        <v>11</v>
      </c>
      <c r="C92" s="40">
        <v>2750.0</v>
      </c>
      <c r="D92" s="55">
        <v>300.0</v>
      </c>
      <c r="E92" s="40">
        <v>17.0</v>
      </c>
      <c r="F92" s="40">
        <v>0.0</v>
      </c>
      <c r="G92" s="40">
        <v>0.0</v>
      </c>
      <c r="H92" s="40">
        <v>10.0</v>
      </c>
      <c r="I92" s="40">
        <v>0.0</v>
      </c>
      <c r="J92" s="40">
        <v>2.0</v>
      </c>
      <c r="K92" s="24">
        <f t="shared" si="13"/>
        <v>3079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>
      <c r="A93" s="18"/>
      <c r="B93" s="31" t="s">
        <v>12</v>
      </c>
      <c r="C93" s="40">
        <v>1819.0</v>
      </c>
      <c r="D93" s="55">
        <v>264.0</v>
      </c>
      <c r="E93" s="40">
        <v>14.0</v>
      </c>
      <c r="F93" s="40">
        <v>0.0</v>
      </c>
      <c r="G93" s="40">
        <v>0.0</v>
      </c>
      <c r="H93" s="40">
        <v>10.0</v>
      </c>
      <c r="I93" s="40">
        <v>0.0</v>
      </c>
      <c r="J93" s="40">
        <v>1.0</v>
      </c>
      <c r="K93" s="24">
        <f t="shared" si="13"/>
        <v>2108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>
      <c r="A94" s="18"/>
      <c r="B94" s="31" t="s">
        <v>13</v>
      </c>
      <c r="C94" s="40">
        <v>3319.0</v>
      </c>
      <c r="D94" s="55">
        <v>1147.0</v>
      </c>
      <c r="E94" s="40">
        <v>9.0</v>
      </c>
      <c r="F94" s="40">
        <v>0.0</v>
      </c>
      <c r="G94" s="40">
        <v>0.0</v>
      </c>
      <c r="H94" s="40">
        <v>3.0</v>
      </c>
      <c r="I94" s="40">
        <v>0.0</v>
      </c>
      <c r="J94" s="40">
        <v>1.0</v>
      </c>
      <c r="K94" s="24">
        <f t="shared" si="13"/>
        <v>4479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>
      <c r="A95" s="18"/>
      <c r="B95" s="31" t="s">
        <v>14</v>
      </c>
      <c r="C95" s="40">
        <v>3382.0</v>
      </c>
      <c r="D95" s="55">
        <v>128.0</v>
      </c>
      <c r="E95" s="40">
        <v>4.0</v>
      </c>
      <c r="F95" s="40">
        <v>0.0</v>
      </c>
      <c r="G95" s="40">
        <v>0.0</v>
      </c>
      <c r="H95" s="40">
        <v>1.0</v>
      </c>
      <c r="I95" s="40">
        <v>0.0</v>
      </c>
      <c r="J95" s="40">
        <v>1.0</v>
      </c>
      <c r="K95" s="24">
        <f t="shared" si="13"/>
        <v>3516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>
      <c r="A96" s="18"/>
      <c r="B96" s="31" t="s">
        <v>15</v>
      </c>
      <c r="C96" s="40">
        <v>10455.0</v>
      </c>
      <c r="D96" s="55">
        <v>964.0</v>
      </c>
      <c r="E96" s="40">
        <v>20.0</v>
      </c>
      <c r="F96" s="40">
        <v>0.0</v>
      </c>
      <c r="G96" s="40">
        <v>2.0</v>
      </c>
      <c r="H96" s="40">
        <v>16.0</v>
      </c>
      <c r="I96" s="40">
        <v>0.0</v>
      </c>
      <c r="J96" s="40">
        <v>4.0</v>
      </c>
      <c r="K96" s="24">
        <f t="shared" si="13"/>
        <v>11461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>
      <c r="A97" s="18"/>
      <c r="B97" s="31" t="s">
        <v>16</v>
      </c>
      <c r="C97" s="40">
        <v>11788.0</v>
      </c>
      <c r="D97" s="55">
        <v>717.0</v>
      </c>
      <c r="E97" s="40">
        <v>11.0</v>
      </c>
      <c r="F97" s="40">
        <v>0.0</v>
      </c>
      <c r="G97" s="40">
        <v>1.0</v>
      </c>
      <c r="H97" s="40">
        <v>22.0</v>
      </c>
      <c r="I97" s="40">
        <v>0.0</v>
      </c>
      <c r="J97" s="40">
        <v>2.0</v>
      </c>
      <c r="K97" s="24">
        <f t="shared" si="13"/>
        <v>12541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>
      <c r="A98" s="18"/>
      <c r="B98" s="31" t="s">
        <v>17</v>
      </c>
      <c r="C98" s="40">
        <v>5876.0</v>
      </c>
      <c r="D98" s="55">
        <v>1108.0</v>
      </c>
      <c r="E98" s="40">
        <v>35.0</v>
      </c>
      <c r="F98" s="40">
        <v>3.0</v>
      </c>
      <c r="G98" s="40">
        <v>0.0</v>
      </c>
      <c r="H98" s="40">
        <v>39.0</v>
      </c>
      <c r="I98" s="40">
        <v>0.0</v>
      </c>
      <c r="J98" s="40">
        <v>4.0</v>
      </c>
      <c r="K98" s="24">
        <f t="shared" si="13"/>
        <v>7065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>
      <c r="A99" s="18"/>
      <c r="B99" s="31" t="s">
        <v>18</v>
      </c>
      <c r="C99" s="40">
        <v>6269.0</v>
      </c>
      <c r="D99" s="55">
        <v>395.0</v>
      </c>
      <c r="E99" s="40">
        <v>4.0</v>
      </c>
      <c r="F99" s="40">
        <v>0.0</v>
      </c>
      <c r="G99" s="40">
        <v>0.0</v>
      </c>
      <c r="H99" s="40">
        <v>7.0</v>
      </c>
      <c r="I99" s="40">
        <v>0.0</v>
      </c>
      <c r="J99" s="40">
        <v>2.0</v>
      </c>
      <c r="K99" s="24">
        <f t="shared" si="13"/>
        <v>6677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>
      <c r="A100" s="18"/>
      <c r="B100" s="31" t="s">
        <v>19</v>
      </c>
      <c r="C100" s="40">
        <v>5756.0</v>
      </c>
      <c r="D100" s="55">
        <v>343.0</v>
      </c>
      <c r="E100" s="40">
        <v>7.0</v>
      </c>
      <c r="F100" s="40">
        <v>1.0</v>
      </c>
      <c r="G100" s="40">
        <v>0.0</v>
      </c>
      <c r="H100" s="40">
        <v>6.0</v>
      </c>
      <c r="I100" s="40">
        <v>0.0</v>
      </c>
      <c r="J100" s="40">
        <v>4.0</v>
      </c>
      <c r="K100" s="24">
        <f t="shared" si="13"/>
        <v>6117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>
      <c r="A101" s="18"/>
      <c r="B101" s="31" t="s">
        <v>20</v>
      </c>
      <c r="C101" s="40">
        <v>8735.0</v>
      </c>
      <c r="D101" s="55">
        <v>927.0</v>
      </c>
      <c r="E101" s="40">
        <v>67.0</v>
      </c>
      <c r="F101" s="40">
        <v>1.0</v>
      </c>
      <c r="G101" s="40">
        <v>1.0</v>
      </c>
      <c r="H101" s="40">
        <v>70.0</v>
      </c>
      <c r="I101" s="40">
        <v>0.0</v>
      </c>
      <c r="J101" s="40">
        <v>8.0</v>
      </c>
      <c r="K101" s="24">
        <f t="shared" si="13"/>
        <v>9809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>
      <c r="A102" s="18"/>
      <c r="B102" s="31" t="s">
        <v>21</v>
      </c>
      <c r="C102" s="40">
        <v>5328.0</v>
      </c>
      <c r="D102" s="55">
        <v>554.0</v>
      </c>
      <c r="E102" s="40">
        <v>14.0</v>
      </c>
      <c r="F102" s="40">
        <v>0.0</v>
      </c>
      <c r="G102" s="40">
        <v>0.0</v>
      </c>
      <c r="H102" s="40">
        <v>20.0</v>
      </c>
      <c r="I102" s="40">
        <v>0.0</v>
      </c>
      <c r="J102" s="40">
        <v>1.0</v>
      </c>
      <c r="K102" s="24">
        <f t="shared" si="13"/>
        <v>5917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>
      <c r="A103" s="18"/>
      <c r="B103" s="26" t="s">
        <v>22</v>
      </c>
      <c r="C103" s="24">
        <f t="shared" ref="C103:J103" si="14">SUM(C91:C102)</f>
        <v>68051</v>
      </c>
      <c r="D103" s="56">
        <f t="shared" si="14"/>
        <v>7096</v>
      </c>
      <c r="E103" s="24">
        <f t="shared" si="14"/>
        <v>208</v>
      </c>
      <c r="F103" s="24">
        <f t="shared" si="14"/>
        <v>5</v>
      </c>
      <c r="G103" s="24">
        <f t="shared" si="14"/>
        <v>4</v>
      </c>
      <c r="H103" s="24">
        <f t="shared" si="14"/>
        <v>214</v>
      </c>
      <c r="I103" s="24">
        <f t="shared" si="14"/>
        <v>0</v>
      </c>
      <c r="J103" s="24">
        <f t="shared" si="14"/>
        <v>32</v>
      </c>
      <c r="K103" s="27">
        <f t="shared" si="13"/>
        <v>75610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2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>
      <c r="A105" s="18"/>
      <c r="B105" s="29" t="s">
        <v>141</v>
      </c>
      <c r="C105" s="16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>
      <c r="A106" s="18"/>
      <c r="B106" s="19" t="s">
        <v>38</v>
      </c>
      <c r="C106" s="20" t="s">
        <v>142</v>
      </c>
      <c r="D106" s="54" t="s">
        <v>143</v>
      </c>
      <c r="E106" s="54" t="s">
        <v>138</v>
      </c>
      <c r="F106" s="20" t="s">
        <v>135</v>
      </c>
      <c r="G106" s="20" t="s">
        <v>144</v>
      </c>
      <c r="H106" s="20" t="s">
        <v>145</v>
      </c>
      <c r="I106" s="20" t="s">
        <v>146</v>
      </c>
      <c r="J106" s="21" t="s">
        <v>22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>
      <c r="A107" s="18"/>
      <c r="B107" s="31" t="s">
        <v>10</v>
      </c>
      <c r="C107" s="40">
        <v>4.0</v>
      </c>
      <c r="D107" s="55">
        <v>370.0</v>
      </c>
      <c r="E107" s="40">
        <v>3.0</v>
      </c>
      <c r="F107" s="40">
        <v>5.0</v>
      </c>
      <c r="G107" s="40">
        <v>2456.0</v>
      </c>
      <c r="H107" s="40">
        <v>1.0</v>
      </c>
      <c r="I107" s="40">
        <v>2.0</v>
      </c>
      <c r="J107" s="24">
        <f t="shared" ref="J107:J118" si="15">SUM(C107:I107)</f>
        <v>2841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>
      <c r="A108" s="18"/>
      <c r="B108" s="31" t="s">
        <v>11</v>
      </c>
      <c r="C108" s="40">
        <v>53.0</v>
      </c>
      <c r="D108" s="55">
        <v>253.0</v>
      </c>
      <c r="E108" s="40">
        <v>10.0</v>
      </c>
      <c r="F108" s="40">
        <v>27.0</v>
      </c>
      <c r="G108" s="40">
        <v>2728.0</v>
      </c>
      <c r="H108" s="40">
        <v>0.0</v>
      </c>
      <c r="I108" s="40">
        <v>8.0</v>
      </c>
      <c r="J108" s="24">
        <f t="shared" si="15"/>
        <v>3079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>
      <c r="A109" s="18"/>
      <c r="B109" s="31" t="s">
        <v>12</v>
      </c>
      <c r="C109" s="40">
        <v>6.0</v>
      </c>
      <c r="D109" s="55">
        <v>310.0</v>
      </c>
      <c r="E109" s="40">
        <v>2.0</v>
      </c>
      <c r="F109" s="40">
        <v>16.0</v>
      </c>
      <c r="G109" s="40">
        <v>1752.0</v>
      </c>
      <c r="H109" s="40">
        <v>1.0</v>
      </c>
      <c r="I109" s="40">
        <v>21.0</v>
      </c>
      <c r="J109" s="24">
        <f t="shared" si="15"/>
        <v>2108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>
      <c r="A110" s="18"/>
      <c r="B110" s="31" t="s">
        <v>13</v>
      </c>
      <c r="C110" s="40">
        <v>3.0</v>
      </c>
      <c r="D110" s="55">
        <v>526.0</v>
      </c>
      <c r="E110" s="40">
        <v>7.0</v>
      </c>
      <c r="F110" s="40">
        <v>23.0</v>
      </c>
      <c r="G110" s="40">
        <v>3914.0</v>
      </c>
      <c r="H110" s="40">
        <v>2.0</v>
      </c>
      <c r="I110" s="40">
        <v>4.0</v>
      </c>
      <c r="J110" s="24">
        <f t="shared" si="15"/>
        <v>4479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>
      <c r="A111" s="18"/>
      <c r="B111" s="31" t="s">
        <v>14</v>
      </c>
      <c r="C111" s="40">
        <v>1.0</v>
      </c>
      <c r="D111" s="55">
        <v>52.0</v>
      </c>
      <c r="E111" s="40">
        <v>210.0</v>
      </c>
      <c r="F111" s="40">
        <v>12.0</v>
      </c>
      <c r="G111" s="40">
        <v>3236.0</v>
      </c>
      <c r="H111" s="40">
        <v>1.0</v>
      </c>
      <c r="I111" s="40">
        <v>4.0</v>
      </c>
      <c r="J111" s="24">
        <f t="shared" si="15"/>
        <v>3516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>
      <c r="A112" s="18"/>
      <c r="B112" s="31" t="s">
        <v>15</v>
      </c>
      <c r="C112" s="40">
        <v>16.0</v>
      </c>
      <c r="D112" s="55">
        <v>857.0</v>
      </c>
      <c r="E112" s="40">
        <v>24.0</v>
      </c>
      <c r="F112" s="40">
        <v>60.0</v>
      </c>
      <c r="G112" s="40">
        <v>10465.0</v>
      </c>
      <c r="H112" s="40">
        <v>4.0</v>
      </c>
      <c r="I112" s="40">
        <v>35.0</v>
      </c>
      <c r="J112" s="24">
        <f t="shared" si="15"/>
        <v>11461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>
      <c r="A113" s="18"/>
      <c r="B113" s="31" t="s">
        <v>16</v>
      </c>
      <c r="C113" s="40">
        <v>18.0</v>
      </c>
      <c r="D113" s="55">
        <v>674.0</v>
      </c>
      <c r="E113" s="40">
        <v>24.0</v>
      </c>
      <c r="F113" s="40">
        <v>68.0</v>
      </c>
      <c r="G113" s="40">
        <v>11737.0</v>
      </c>
      <c r="H113" s="40">
        <v>0.0</v>
      </c>
      <c r="I113" s="40">
        <v>20.0</v>
      </c>
      <c r="J113" s="24">
        <f t="shared" si="15"/>
        <v>12541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>
      <c r="A114" s="18"/>
      <c r="B114" s="31" t="s">
        <v>17</v>
      </c>
      <c r="C114" s="40">
        <v>29.0</v>
      </c>
      <c r="D114" s="55">
        <v>1499.0</v>
      </c>
      <c r="E114" s="40">
        <v>27.0</v>
      </c>
      <c r="F114" s="40">
        <v>30.0</v>
      </c>
      <c r="G114" s="40">
        <v>5457.0</v>
      </c>
      <c r="H114" s="40">
        <v>1.0</v>
      </c>
      <c r="I114" s="40">
        <v>22.0</v>
      </c>
      <c r="J114" s="24">
        <f t="shared" si="15"/>
        <v>7065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>
      <c r="A115" s="18"/>
      <c r="B115" s="31" t="s">
        <v>18</v>
      </c>
      <c r="C115" s="40">
        <v>5.0</v>
      </c>
      <c r="D115" s="55">
        <v>339.0</v>
      </c>
      <c r="E115" s="40">
        <v>17.0</v>
      </c>
      <c r="F115" s="40">
        <v>36.0</v>
      </c>
      <c r="G115" s="40">
        <v>6272.0</v>
      </c>
      <c r="H115" s="40">
        <v>2.0</v>
      </c>
      <c r="I115" s="40">
        <v>6.0</v>
      </c>
      <c r="J115" s="24">
        <f t="shared" si="15"/>
        <v>6677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>
      <c r="A116" s="18"/>
      <c r="B116" s="31" t="s">
        <v>19</v>
      </c>
      <c r="C116" s="40">
        <v>6.0</v>
      </c>
      <c r="D116" s="55">
        <v>353.0</v>
      </c>
      <c r="E116" s="40">
        <v>12.0</v>
      </c>
      <c r="F116" s="40">
        <v>41.0</v>
      </c>
      <c r="G116" s="40">
        <v>5660.0</v>
      </c>
      <c r="H116" s="40">
        <v>0.0</v>
      </c>
      <c r="I116" s="40">
        <v>45.0</v>
      </c>
      <c r="J116" s="24">
        <f t="shared" si="15"/>
        <v>6117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>
      <c r="A117" s="18"/>
      <c r="B117" s="31" t="s">
        <v>20</v>
      </c>
      <c r="C117" s="40">
        <v>85.0</v>
      </c>
      <c r="D117" s="55">
        <v>1064.0</v>
      </c>
      <c r="E117" s="40">
        <v>99.0</v>
      </c>
      <c r="F117" s="40">
        <v>54.0</v>
      </c>
      <c r="G117" s="40">
        <v>8498.0</v>
      </c>
      <c r="H117" s="40">
        <v>1.0</v>
      </c>
      <c r="I117" s="40">
        <v>8.0</v>
      </c>
      <c r="J117" s="24">
        <f t="shared" si="15"/>
        <v>9809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>
      <c r="A118" s="18"/>
      <c r="B118" s="31" t="s">
        <v>21</v>
      </c>
      <c r="C118" s="40">
        <v>23.0</v>
      </c>
      <c r="D118" s="55">
        <v>445.0</v>
      </c>
      <c r="E118" s="40">
        <v>8.0</v>
      </c>
      <c r="F118" s="40">
        <v>19.0</v>
      </c>
      <c r="G118" s="40">
        <v>5410.0</v>
      </c>
      <c r="H118" s="40">
        <v>0.0</v>
      </c>
      <c r="I118" s="40">
        <v>12.0</v>
      </c>
      <c r="J118" s="24">
        <f t="shared" si="15"/>
        <v>5917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>
      <c r="A119" s="18"/>
      <c r="B119" s="26" t="s">
        <v>22</v>
      </c>
      <c r="C119" s="24">
        <f t="shared" ref="C119:I119" si="16">SUM(C107:C118)</f>
        <v>249</v>
      </c>
      <c r="D119" s="56">
        <f t="shared" si="16"/>
        <v>6742</v>
      </c>
      <c r="E119" s="24">
        <f t="shared" si="16"/>
        <v>443</v>
      </c>
      <c r="F119" s="24">
        <f t="shared" si="16"/>
        <v>391</v>
      </c>
      <c r="G119" s="24">
        <f t="shared" si="16"/>
        <v>67585</v>
      </c>
      <c r="H119" s="24">
        <f t="shared" si="16"/>
        <v>13</v>
      </c>
      <c r="I119" s="24">
        <f t="shared" si="16"/>
        <v>187</v>
      </c>
      <c r="J119" s="27">
        <f>SUM(J106:J118)</f>
        <v>75610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2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>
      <c r="A121" s="18"/>
      <c r="B121" s="29" t="s">
        <v>147</v>
      </c>
      <c r="C121" s="16"/>
      <c r="D121" s="16"/>
      <c r="E121" s="16"/>
      <c r="F121" s="18"/>
      <c r="G121" s="18"/>
      <c r="H121" s="18"/>
      <c r="I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>
      <c r="A122" s="18"/>
      <c r="B122" s="19" t="s">
        <v>38</v>
      </c>
      <c r="C122" s="20" t="s">
        <v>69</v>
      </c>
      <c r="D122" s="20" t="s">
        <v>70</v>
      </c>
      <c r="E122" s="21" t="s">
        <v>22</v>
      </c>
      <c r="F122" s="18"/>
      <c r="G122" s="18"/>
      <c r="H122" s="18"/>
      <c r="I122" s="18"/>
      <c r="J122" s="18"/>
      <c r="K122" s="57" t="s">
        <v>148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>
      <c r="A123" s="18"/>
      <c r="B123" s="32" t="s">
        <v>10</v>
      </c>
      <c r="C123" s="53">
        <v>2831.0</v>
      </c>
      <c r="D123" s="53">
        <v>10.0</v>
      </c>
      <c r="E123" s="24">
        <f t="shared" ref="E123:E135" si="17">SUM(C123:D123)</f>
        <v>2841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ht="35.25" customHeight="1">
      <c r="A124" s="18"/>
      <c r="B124" s="32" t="s">
        <v>11</v>
      </c>
      <c r="C124" s="53">
        <v>3045.0</v>
      </c>
      <c r="D124" s="53">
        <v>34.0</v>
      </c>
      <c r="E124" s="24">
        <f t="shared" si="17"/>
        <v>3079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>
      <c r="A125" s="18"/>
      <c r="B125" s="32" t="s">
        <v>12</v>
      </c>
      <c r="C125" s="53">
        <v>2055.0</v>
      </c>
      <c r="D125" s="53">
        <v>53.0</v>
      </c>
      <c r="E125" s="24">
        <f t="shared" si="17"/>
        <v>2108</v>
      </c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ht="29.25" customHeight="1">
      <c r="A126" s="18"/>
      <c r="B126" s="32" t="s">
        <v>13</v>
      </c>
      <c r="C126" s="53">
        <v>4461.0</v>
      </c>
      <c r="D126" s="53">
        <v>18.0</v>
      </c>
      <c r="E126" s="24">
        <f t="shared" si="17"/>
        <v>4479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ht="27.75" customHeight="1">
      <c r="A127" s="18"/>
      <c r="B127" s="32" t="s">
        <v>14</v>
      </c>
      <c r="C127" s="53">
        <v>3474.0</v>
      </c>
      <c r="D127" s="53">
        <v>42.0</v>
      </c>
      <c r="E127" s="24">
        <f t="shared" si="17"/>
        <v>3516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ht="30.0" customHeight="1">
      <c r="A128" s="18"/>
      <c r="B128" s="32" t="s">
        <v>15</v>
      </c>
      <c r="C128" s="53">
        <v>11436.0</v>
      </c>
      <c r="D128" s="53">
        <v>25.0</v>
      </c>
      <c r="E128" s="24">
        <f t="shared" si="17"/>
        <v>11461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ht="27.75" customHeight="1">
      <c r="A129" s="18"/>
      <c r="B129" s="32" t="s">
        <v>16</v>
      </c>
      <c r="C129" s="53">
        <v>12493.0</v>
      </c>
      <c r="D129" s="53">
        <v>48.0</v>
      </c>
      <c r="E129" s="24">
        <f t="shared" si="17"/>
        <v>12541</v>
      </c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>
      <c r="A130" s="18"/>
      <c r="B130" s="32" t="s">
        <v>17</v>
      </c>
      <c r="C130" s="53">
        <v>7048.0</v>
      </c>
      <c r="D130" s="53">
        <v>17.0</v>
      </c>
      <c r="E130" s="24">
        <f t="shared" si="17"/>
        <v>7065</v>
      </c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>
      <c r="A131" s="18"/>
      <c r="B131" s="32" t="s">
        <v>18</v>
      </c>
      <c r="C131" s="53">
        <v>6656.0</v>
      </c>
      <c r="D131" s="53">
        <v>21.0</v>
      </c>
      <c r="E131" s="24">
        <f t="shared" si="17"/>
        <v>6677</v>
      </c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>
      <c r="A132" s="18"/>
      <c r="B132" s="32"/>
      <c r="C132" s="53">
        <v>6101.0</v>
      </c>
      <c r="D132" s="53">
        <v>16.0</v>
      </c>
      <c r="E132" s="24">
        <f t="shared" si="17"/>
        <v>6117</v>
      </c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>
      <c r="A133" s="18"/>
      <c r="B133" s="32" t="s">
        <v>20</v>
      </c>
      <c r="C133" s="53">
        <v>9771.0</v>
      </c>
      <c r="D133" s="53">
        <v>38.0</v>
      </c>
      <c r="E133" s="24">
        <f t="shared" si="17"/>
        <v>9809</v>
      </c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>
      <c r="A134" s="18"/>
      <c r="B134" s="32" t="s">
        <v>21</v>
      </c>
      <c r="C134" s="53">
        <v>5793.0</v>
      </c>
      <c r="D134" s="53">
        <v>124.0</v>
      </c>
      <c r="E134" s="24">
        <f t="shared" si="17"/>
        <v>5917</v>
      </c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>
      <c r="A135" s="18"/>
      <c r="B135" s="26" t="s">
        <v>22</v>
      </c>
      <c r="C135" s="24">
        <f t="shared" ref="C135:D135" si="18">SUM(C123:C134)</f>
        <v>75164</v>
      </c>
      <c r="D135" s="24">
        <f t="shared" si="18"/>
        <v>446</v>
      </c>
      <c r="E135" s="27">
        <f t="shared" si="17"/>
        <v>75610</v>
      </c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>
      <c r="A137" s="18"/>
      <c r="B137" s="29" t="s">
        <v>149</v>
      </c>
      <c r="C137" s="16"/>
      <c r="D137" s="16"/>
      <c r="E137" s="16"/>
      <c r="F137" s="16"/>
      <c r="G137" s="17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>
      <c r="A138" s="18"/>
      <c r="B138" s="19" t="s">
        <v>38</v>
      </c>
      <c r="C138" s="20" t="s">
        <v>150</v>
      </c>
      <c r="D138" s="20" t="s">
        <v>151</v>
      </c>
      <c r="E138" s="20" t="s">
        <v>152</v>
      </c>
      <c r="F138" s="20" t="s">
        <v>153</v>
      </c>
      <c r="G138" s="21" t="s">
        <v>22</v>
      </c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>
      <c r="A139" s="18"/>
      <c r="B139" s="31" t="s">
        <v>10</v>
      </c>
      <c r="C139" s="53">
        <v>2801.0</v>
      </c>
      <c r="D139" s="53">
        <v>24.0</v>
      </c>
      <c r="E139" s="53">
        <v>0.0</v>
      </c>
      <c r="F139" s="53">
        <v>16.0</v>
      </c>
      <c r="G139" s="24">
        <f t="shared" ref="G139:G150" si="19">SUM(C139:F139)</f>
        <v>2841</v>
      </c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>
      <c r="A140" s="18"/>
      <c r="B140" s="31" t="s">
        <v>11</v>
      </c>
      <c r="C140" s="53">
        <v>2910.0</v>
      </c>
      <c r="D140" s="53">
        <v>158.0</v>
      </c>
      <c r="E140" s="53">
        <v>2.0</v>
      </c>
      <c r="F140" s="53">
        <v>9.0</v>
      </c>
      <c r="G140" s="24">
        <f t="shared" si="19"/>
        <v>3079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>
      <c r="A141" s="18"/>
      <c r="B141" s="31" t="s">
        <v>12</v>
      </c>
      <c r="C141" s="53">
        <v>1835.0</v>
      </c>
      <c r="D141" s="53">
        <v>238.0</v>
      </c>
      <c r="E141" s="53">
        <v>1.0</v>
      </c>
      <c r="F141" s="53">
        <v>34.0</v>
      </c>
      <c r="G141" s="24">
        <f t="shared" si="19"/>
        <v>2108</v>
      </c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>
      <c r="A142" s="18"/>
      <c r="B142" s="31" t="s">
        <v>13</v>
      </c>
      <c r="C142" s="53">
        <v>4393.0</v>
      </c>
      <c r="D142" s="53">
        <v>76.0</v>
      </c>
      <c r="E142" s="53">
        <v>0.0</v>
      </c>
      <c r="F142" s="53">
        <v>10.0</v>
      </c>
      <c r="G142" s="24">
        <f t="shared" si="19"/>
        <v>4479</v>
      </c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>
      <c r="A143" s="18"/>
      <c r="B143" s="31" t="s">
        <v>14</v>
      </c>
      <c r="C143" s="53">
        <v>3416.0</v>
      </c>
      <c r="D143" s="53">
        <v>95.0</v>
      </c>
      <c r="E143" s="53">
        <v>0.0</v>
      </c>
      <c r="F143" s="53">
        <v>5.0</v>
      </c>
      <c r="G143" s="24">
        <f t="shared" si="19"/>
        <v>3516</v>
      </c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>
      <c r="A144" s="18"/>
      <c r="B144" s="31" t="s">
        <v>15</v>
      </c>
      <c r="C144" s="53">
        <v>11342.0</v>
      </c>
      <c r="D144" s="53">
        <v>81.0</v>
      </c>
      <c r="E144" s="53">
        <v>1.0</v>
      </c>
      <c r="F144" s="53">
        <v>37.0</v>
      </c>
      <c r="G144" s="24">
        <f t="shared" si="19"/>
        <v>11461</v>
      </c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>
      <c r="A145" s="18"/>
      <c r="B145" s="31" t="s">
        <v>16</v>
      </c>
      <c r="C145" s="53">
        <v>12417.0</v>
      </c>
      <c r="D145" s="53">
        <v>47.0</v>
      </c>
      <c r="E145" s="53">
        <v>0.0</v>
      </c>
      <c r="F145" s="53">
        <v>77.0</v>
      </c>
      <c r="G145" s="24">
        <f t="shared" si="19"/>
        <v>12541</v>
      </c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>
      <c r="A146" s="18"/>
      <c r="B146" s="31" t="s">
        <v>17</v>
      </c>
      <c r="C146" s="53">
        <v>6955.0</v>
      </c>
      <c r="D146" s="53">
        <v>27.0</v>
      </c>
      <c r="E146" s="53">
        <v>1.0</v>
      </c>
      <c r="F146" s="53">
        <v>82.0</v>
      </c>
      <c r="G146" s="24">
        <f t="shared" si="19"/>
        <v>7065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>
      <c r="A147" s="18"/>
      <c r="B147" s="31" t="s">
        <v>18</v>
      </c>
      <c r="C147" s="53">
        <v>6614.0</v>
      </c>
      <c r="D147" s="53">
        <v>50.0</v>
      </c>
      <c r="E147" s="53">
        <v>1.0</v>
      </c>
      <c r="F147" s="53">
        <v>12.0</v>
      </c>
      <c r="G147" s="24">
        <f t="shared" si="19"/>
        <v>6677</v>
      </c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>
      <c r="A148" s="18"/>
      <c r="B148" s="31" t="s">
        <v>19</v>
      </c>
      <c r="C148" s="53">
        <v>6086.0</v>
      </c>
      <c r="D148" s="53">
        <v>19.0</v>
      </c>
      <c r="E148" s="53">
        <v>0.0</v>
      </c>
      <c r="F148" s="53">
        <v>12.0</v>
      </c>
      <c r="G148" s="24">
        <f t="shared" si="19"/>
        <v>6117</v>
      </c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>
      <c r="A149" s="18"/>
      <c r="B149" s="31" t="s">
        <v>20</v>
      </c>
      <c r="C149" s="53">
        <v>9540.0</v>
      </c>
      <c r="D149" s="53">
        <v>101.0</v>
      </c>
      <c r="E149" s="53">
        <v>3.0</v>
      </c>
      <c r="F149" s="53">
        <v>165.0</v>
      </c>
      <c r="G149" s="24">
        <f t="shared" si="19"/>
        <v>9809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>
      <c r="A150" s="18"/>
      <c r="B150" s="31" t="s">
        <v>21</v>
      </c>
      <c r="C150" s="53">
        <v>5721.0</v>
      </c>
      <c r="D150" s="53">
        <v>27.0</v>
      </c>
      <c r="E150" s="53">
        <v>0.0</v>
      </c>
      <c r="F150" s="53">
        <v>169.0</v>
      </c>
      <c r="G150" s="24">
        <f t="shared" si="19"/>
        <v>5917</v>
      </c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>
      <c r="A151" s="18"/>
      <c r="B151" s="26" t="s">
        <v>22</v>
      </c>
      <c r="C151" s="24">
        <f t="shared" ref="C151:G151" si="20">SUM(C139:C150)</f>
        <v>74030</v>
      </c>
      <c r="D151" s="24">
        <f t="shared" si="20"/>
        <v>943</v>
      </c>
      <c r="E151" s="24">
        <f t="shared" si="20"/>
        <v>9</v>
      </c>
      <c r="F151" s="24">
        <f t="shared" si="20"/>
        <v>628</v>
      </c>
      <c r="G151" s="27">
        <f t="shared" si="20"/>
        <v>75610</v>
      </c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>
      <c r="A153" s="18"/>
      <c r="B153" s="29" t="s">
        <v>154</v>
      </c>
      <c r="C153" s="16"/>
      <c r="D153" s="16"/>
      <c r="E153" s="16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>
      <c r="A154" s="18"/>
      <c r="B154" s="19" t="s">
        <v>38</v>
      </c>
      <c r="C154" s="20" t="s">
        <v>69</v>
      </c>
      <c r="D154" s="20" t="s">
        <v>70</v>
      </c>
      <c r="E154" s="21" t="s">
        <v>22</v>
      </c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>
      <c r="A155" s="18"/>
      <c r="B155" s="32" t="s">
        <v>10</v>
      </c>
      <c r="C155" s="53">
        <v>2835.0</v>
      </c>
      <c r="D155" s="53">
        <v>6.0</v>
      </c>
      <c r="E155" s="24">
        <f t="shared" ref="E155:E167" si="21">SUM(C155:D155)</f>
        <v>2841</v>
      </c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>
      <c r="A156" s="18"/>
      <c r="B156" s="32" t="s">
        <v>11</v>
      </c>
      <c r="C156" s="53">
        <v>3058.0</v>
      </c>
      <c r="D156" s="53">
        <v>21.0</v>
      </c>
      <c r="E156" s="24">
        <f t="shared" si="21"/>
        <v>3079</v>
      </c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>
      <c r="A157" s="18"/>
      <c r="B157" s="32" t="s">
        <v>12</v>
      </c>
      <c r="C157" s="53">
        <v>2098.0</v>
      </c>
      <c r="D157" s="53">
        <v>10.0</v>
      </c>
      <c r="E157" s="24">
        <f t="shared" si="21"/>
        <v>2108</v>
      </c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>
      <c r="A158" s="18"/>
      <c r="B158" s="32" t="s">
        <v>13</v>
      </c>
      <c r="C158" s="53">
        <v>4468.0</v>
      </c>
      <c r="D158" s="53">
        <v>11.0</v>
      </c>
      <c r="E158" s="24">
        <f t="shared" si="21"/>
        <v>4479</v>
      </c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>
      <c r="A159" s="18"/>
      <c r="B159" s="32" t="s">
        <v>14</v>
      </c>
      <c r="C159" s="53">
        <v>3510.0</v>
      </c>
      <c r="D159" s="53">
        <v>6.0</v>
      </c>
      <c r="E159" s="24">
        <f t="shared" si="21"/>
        <v>3516</v>
      </c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>
      <c r="A160" s="18"/>
      <c r="B160" s="32" t="s">
        <v>15</v>
      </c>
      <c r="C160" s="53">
        <v>11435.0</v>
      </c>
      <c r="D160" s="53">
        <v>26.0</v>
      </c>
      <c r="E160" s="24">
        <f t="shared" si="21"/>
        <v>11461</v>
      </c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>
      <c r="A161" s="18"/>
      <c r="B161" s="32" t="s">
        <v>16</v>
      </c>
      <c r="C161" s="53">
        <v>12509.0</v>
      </c>
      <c r="D161" s="53">
        <v>32.0</v>
      </c>
      <c r="E161" s="24">
        <f t="shared" si="21"/>
        <v>12541</v>
      </c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>
      <c r="A162" s="18"/>
      <c r="B162" s="32" t="s">
        <v>17</v>
      </c>
      <c r="C162" s="53">
        <v>7046.0</v>
      </c>
      <c r="D162" s="53">
        <v>19.0</v>
      </c>
      <c r="E162" s="24">
        <f t="shared" si="21"/>
        <v>7065</v>
      </c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>
      <c r="A163" s="18"/>
      <c r="B163" s="32" t="s">
        <v>18</v>
      </c>
      <c r="C163" s="53">
        <v>6669.0</v>
      </c>
      <c r="D163" s="53">
        <v>8.0</v>
      </c>
      <c r="E163" s="24">
        <f t="shared" si="21"/>
        <v>6677</v>
      </c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>
      <c r="A164" s="18"/>
      <c r="B164" s="31" t="s">
        <v>19</v>
      </c>
      <c r="C164" s="53">
        <v>6100.0</v>
      </c>
      <c r="D164" s="53">
        <v>17.0</v>
      </c>
      <c r="E164" s="24">
        <f t="shared" si="21"/>
        <v>6117</v>
      </c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>
      <c r="A165" s="18"/>
      <c r="B165" s="32" t="s">
        <v>20</v>
      </c>
      <c r="C165" s="53">
        <v>9785.0</v>
      </c>
      <c r="D165" s="53">
        <v>24.0</v>
      </c>
      <c r="E165" s="24">
        <f t="shared" si="21"/>
        <v>9809</v>
      </c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>
      <c r="A166" s="18"/>
      <c r="B166" s="32" t="s">
        <v>21</v>
      </c>
      <c r="C166" s="53">
        <v>5903.0</v>
      </c>
      <c r="D166" s="53">
        <v>14.0</v>
      </c>
      <c r="E166" s="24">
        <f t="shared" si="21"/>
        <v>5917</v>
      </c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>
      <c r="A167" s="18"/>
      <c r="B167" s="26" t="s">
        <v>22</v>
      </c>
      <c r="C167" s="24">
        <f t="shared" ref="C167:D167" si="22">SUM(C155:C166)</f>
        <v>75416</v>
      </c>
      <c r="D167" s="24">
        <f t="shared" si="22"/>
        <v>194</v>
      </c>
      <c r="E167" s="27">
        <f t="shared" si="21"/>
        <v>75610</v>
      </c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>
      <c r="A169" s="18"/>
      <c r="B169" s="29" t="s">
        <v>155</v>
      </c>
      <c r="C169" s="16"/>
      <c r="D169" s="16"/>
      <c r="E169" s="16"/>
      <c r="F169" s="16"/>
      <c r="G169" s="16"/>
      <c r="H169" s="16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>
      <c r="A170" s="18"/>
      <c r="B170" s="19" t="s">
        <v>38</v>
      </c>
      <c r="C170" s="20" t="s">
        <v>156</v>
      </c>
      <c r="D170" s="20" t="s">
        <v>157</v>
      </c>
      <c r="E170" s="20" t="s">
        <v>158</v>
      </c>
      <c r="F170" s="20" t="s">
        <v>159</v>
      </c>
      <c r="G170" s="20" t="s">
        <v>160</v>
      </c>
      <c r="H170" s="20" t="s">
        <v>153</v>
      </c>
      <c r="I170" s="21" t="s">
        <v>22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>
      <c r="A171" s="18"/>
      <c r="B171" s="31" t="s">
        <v>10</v>
      </c>
      <c r="C171" s="53">
        <v>2781.0</v>
      </c>
      <c r="D171" s="53">
        <v>33.0</v>
      </c>
      <c r="E171" s="53">
        <v>12.0</v>
      </c>
      <c r="F171" s="53">
        <v>0.0</v>
      </c>
      <c r="G171" s="53">
        <v>0.0</v>
      </c>
      <c r="H171" s="53">
        <v>9.0</v>
      </c>
      <c r="I171" s="24">
        <f t="shared" ref="I171:I182" si="23">SUM(C171:H171)</f>
        <v>2835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>
      <c r="A172" s="18"/>
      <c r="B172" s="31" t="s">
        <v>11</v>
      </c>
      <c r="C172" s="53">
        <v>2890.0</v>
      </c>
      <c r="D172" s="53">
        <v>142.0</v>
      </c>
      <c r="E172" s="53">
        <v>21.0</v>
      </c>
      <c r="F172" s="53">
        <v>2.0</v>
      </c>
      <c r="G172" s="53">
        <v>0.0</v>
      </c>
      <c r="H172" s="53">
        <v>3.0</v>
      </c>
      <c r="I172" s="24">
        <f t="shared" si="23"/>
        <v>3058</v>
      </c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>
      <c r="A173" s="18"/>
      <c r="B173" s="31" t="s">
        <v>12</v>
      </c>
      <c r="C173" s="53">
        <v>1623.0</v>
      </c>
      <c r="D173" s="53">
        <v>384.0</v>
      </c>
      <c r="E173" s="53">
        <v>81.0</v>
      </c>
      <c r="F173" s="53">
        <v>1.0</v>
      </c>
      <c r="G173" s="53">
        <v>2.0</v>
      </c>
      <c r="H173" s="53">
        <v>7.0</v>
      </c>
      <c r="I173" s="24">
        <f t="shared" si="23"/>
        <v>2098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>
      <c r="A174" s="18"/>
      <c r="B174" s="31" t="s">
        <v>13</v>
      </c>
      <c r="C174" s="53">
        <v>4329.0</v>
      </c>
      <c r="D174" s="53">
        <v>119.0</v>
      </c>
      <c r="E174" s="53">
        <v>12.0</v>
      </c>
      <c r="F174" s="53">
        <v>1.0</v>
      </c>
      <c r="G174" s="53">
        <v>2.0</v>
      </c>
      <c r="H174" s="53">
        <v>5.0</v>
      </c>
      <c r="I174" s="24">
        <f t="shared" si="23"/>
        <v>4468</v>
      </c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>
      <c r="A175" s="18"/>
      <c r="B175" s="31" t="s">
        <v>14</v>
      </c>
      <c r="C175" s="53">
        <v>3412.0</v>
      </c>
      <c r="D175" s="53">
        <v>78.0</v>
      </c>
      <c r="E175" s="53">
        <v>8.0</v>
      </c>
      <c r="F175" s="53">
        <v>0.0</v>
      </c>
      <c r="G175" s="53">
        <v>9.0</v>
      </c>
      <c r="H175" s="53">
        <v>3.0</v>
      </c>
      <c r="I175" s="24">
        <f t="shared" si="23"/>
        <v>3510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>
      <c r="A176" s="18"/>
      <c r="B176" s="31" t="s">
        <v>15</v>
      </c>
      <c r="C176" s="53">
        <v>11314.0</v>
      </c>
      <c r="D176" s="53">
        <v>78.0</v>
      </c>
      <c r="E176" s="53">
        <v>16.0</v>
      </c>
      <c r="F176" s="53">
        <v>4.0</v>
      </c>
      <c r="G176" s="53">
        <v>13.0</v>
      </c>
      <c r="H176" s="53">
        <v>10.0</v>
      </c>
      <c r="I176" s="24">
        <f t="shared" si="23"/>
        <v>11435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>
      <c r="A177" s="18"/>
      <c r="B177" s="31" t="s">
        <v>16</v>
      </c>
      <c r="C177" s="53">
        <v>12404.0</v>
      </c>
      <c r="D177" s="53">
        <v>42.0</v>
      </c>
      <c r="E177" s="53">
        <v>10.0</v>
      </c>
      <c r="F177" s="53">
        <v>1.0</v>
      </c>
      <c r="G177" s="53">
        <v>16.0</v>
      </c>
      <c r="H177" s="53">
        <v>36.0</v>
      </c>
      <c r="I177" s="24">
        <f t="shared" si="23"/>
        <v>12509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>
      <c r="A178" s="18"/>
      <c r="B178" s="31" t="s">
        <v>17</v>
      </c>
      <c r="C178" s="53">
        <v>6929.0</v>
      </c>
      <c r="D178" s="53">
        <v>28.0</v>
      </c>
      <c r="E178" s="53">
        <v>4.0</v>
      </c>
      <c r="F178" s="53">
        <v>5.0</v>
      </c>
      <c r="G178" s="53">
        <v>34.0</v>
      </c>
      <c r="H178" s="53">
        <v>46.0</v>
      </c>
      <c r="I178" s="24">
        <f t="shared" si="23"/>
        <v>7046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>
      <c r="A179" s="18"/>
      <c r="B179" s="31" t="s">
        <v>18</v>
      </c>
      <c r="C179" s="53">
        <v>6607.0</v>
      </c>
      <c r="D179" s="53">
        <v>42.0</v>
      </c>
      <c r="E179" s="53">
        <v>15.0</v>
      </c>
      <c r="F179" s="53">
        <v>0.0</v>
      </c>
      <c r="G179" s="53">
        <v>1.0</v>
      </c>
      <c r="H179" s="53">
        <v>4.0</v>
      </c>
      <c r="I179" s="24">
        <f t="shared" si="23"/>
        <v>6669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>
      <c r="A180" s="18"/>
      <c r="B180" s="31" t="s">
        <v>19</v>
      </c>
      <c r="C180" s="53">
        <v>6073.0</v>
      </c>
      <c r="D180" s="53">
        <v>17.0</v>
      </c>
      <c r="E180" s="53">
        <v>4.0</v>
      </c>
      <c r="F180" s="53">
        <v>0.0</v>
      </c>
      <c r="G180" s="53">
        <v>0.0</v>
      </c>
      <c r="H180" s="53">
        <v>6.0</v>
      </c>
      <c r="I180" s="24">
        <f t="shared" si="23"/>
        <v>6100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>
      <c r="A181" s="18"/>
      <c r="B181" s="31" t="s">
        <v>20</v>
      </c>
      <c r="C181" s="53">
        <v>9453.0</v>
      </c>
      <c r="D181" s="53">
        <v>219.0</v>
      </c>
      <c r="E181" s="53">
        <v>38.0</v>
      </c>
      <c r="F181" s="53">
        <v>2.0</v>
      </c>
      <c r="G181" s="53">
        <v>23.0</v>
      </c>
      <c r="H181" s="53">
        <v>50.0</v>
      </c>
      <c r="I181" s="24">
        <f t="shared" si="23"/>
        <v>9785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>
      <c r="A182" s="18"/>
      <c r="B182" s="31" t="s">
        <v>21</v>
      </c>
      <c r="C182" s="53">
        <v>5722.0</v>
      </c>
      <c r="D182" s="53">
        <v>41.0</v>
      </c>
      <c r="E182" s="53">
        <v>27.0</v>
      </c>
      <c r="F182" s="53">
        <v>1.0</v>
      </c>
      <c r="G182" s="53">
        <v>1.0</v>
      </c>
      <c r="H182" s="53">
        <v>111.0</v>
      </c>
      <c r="I182" s="24">
        <f t="shared" si="23"/>
        <v>5903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>
      <c r="A183" s="18"/>
      <c r="B183" s="26" t="s">
        <v>22</v>
      </c>
      <c r="C183" s="24">
        <f t="shared" ref="C183:I183" si="24">SUM(C171:C182)</f>
        <v>73537</v>
      </c>
      <c r="D183" s="24">
        <f t="shared" si="24"/>
        <v>1223</v>
      </c>
      <c r="E183" s="24">
        <f t="shared" si="24"/>
        <v>248</v>
      </c>
      <c r="F183" s="24">
        <f t="shared" si="24"/>
        <v>17</v>
      </c>
      <c r="G183" s="24">
        <f t="shared" si="24"/>
        <v>101</v>
      </c>
      <c r="H183" s="24">
        <f t="shared" si="24"/>
        <v>290</v>
      </c>
      <c r="I183" s="27">
        <f t="shared" si="24"/>
        <v>75416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>
      <c r="A185" s="18"/>
      <c r="B185" s="29" t="s">
        <v>161</v>
      </c>
      <c r="C185" s="16"/>
      <c r="D185" s="16"/>
      <c r="E185" s="16"/>
      <c r="F185" s="16"/>
      <c r="G185" s="16"/>
      <c r="H185" s="16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>
      <c r="A186" s="18"/>
      <c r="B186" s="19" t="s">
        <v>38</v>
      </c>
      <c r="C186" s="20" t="s">
        <v>162</v>
      </c>
      <c r="D186" s="20" t="s">
        <v>163</v>
      </c>
      <c r="E186" s="20" t="s">
        <v>164</v>
      </c>
      <c r="F186" s="20" t="s">
        <v>165</v>
      </c>
      <c r="G186" s="20" t="s">
        <v>166</v>
      </c>
      <c r="H186" s="20" t="s">
        <v>167</v>
      </c>
      <c r="I186" s="21" t="s">
        <v>22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>
      <c r="A187" s="18"/>
      <c r="B187" s="31" t="s">
        <v>10</v>
      </c>
      <c r="C187" s="53">
        <v>2802.0</v>
      </c>
      <c r="D187" s="53">
        <v>35.0</v>
      </c>
      <c r="E187" s="53">
        <v>0.0</v>
      </c>
      <c r="F187" s="53">
        <v>1.0</v>
      </c>
      <c r="G187" s="53">
        <v>0.0</v>
      </c>
      <c r="H187" s="53">
        <v>3.0</v>
      </c>
      <c r="I187" s="24">
        <f t="shared" ref="I187:I198" si="25">SUM(C187:H187)</f>
        <v>2841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>
      <c r="A188" s="18"/>
      <c r="B188" s="31" t="s">
        <v>11</v>
      </c>
      <c r="C188" s="53">
        <v>2975.0</v>
      </c>
      <c r="D188" s="53">
        <v>63.0</v>
      </c>
      <c r="E188" s="53">
        <v>8.0</v>
      </c>
      <c r="F188" s="53">
        <v>28.0</v>
      </c>
      <c r="G188" s="53">
        <v>1.0</v>
      </c>
      <c r="H188" s="53">
        <v>4.0</v>
      </c>
      <c r="I188" s="24">
        <f t="shared" si="25"/>
        <v>3079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>
      <c r="A189" s="18"/>
      <c r="B189" s="31" t="s">
        <v>12</v>
      </c>
      <c r="C189" s="53">
        <v>2018.0</v>
      </c>
      <c r="D189" s="53">
        <v>67.0</v>
      </c>
      <c r="E189" s="53">
        <v>19.0</v>
      </c>
      <c r="F189" s="53">
        <v>0.0</v>
      </c>
      <c r="G189" s="53">
        <v>0.0</v>
      </c>
      <c r="H189" s="53">
        <v>4.0</v>
      </c>
      <c r="I189" s="24">
        <f t="shared" si="25"/>
        <v>2108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>
      <c r="A190" s="18"/>
      <c r="B190" s="31" t="s">
        <v>13</v>
      </c>
      <c r="C190" s="53">
        <v>4433.0</v>
      </c>
      <c r="D190" s="53">
        <v>28.0</v>
      </c>
      <c r="E190" s="53">
        <v>15.0</v>
      </c>
      <c r="F190" s="53">
        <v>1.0</v>
      </c>
      <c r="G190" s="53">
        <v>0.0</v>
      </c>
      <c r="H190" s="53">
        <v>2.0</v>
      </c>
      <c r="I190" s="24">
        <f t="shared" si="25"/>
        <v>4479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>
      <c r="A191" s="18"/>
      <c r="B191" s="31" t="s">
        <v>14</v>
      </c>
      <c r="C191" s="53">
        <v>3443.0</v>
      </c>
      <c r="D191" s="53">
        <v>65.0</v>
      </c>
      <c r="E191" s="53">
        <v>1.0</v>
      </c>
      <c r="F191" s="53">
        <v>7.0</v>
      </c>
      <c r="G191" s="53">
        <v>0.0</v>
      </c>
      <c r="H191" s="53">
        <v>0.0</v>
      </c>
      <c r="I191" s="24">
        <f t="shared" si="25"/>
        <v>3516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>
      <c r="A192" s="18"/>
      <c r="B192" s="31" t="s">
        <v>15</v>
      </c>
      <c r="C192" s="53">
        <v>11405.0</v>
      </c>
      <c r="D192" s="53">
        <v>54.0</v>
      </c>
      <c r="E192" s="53">
        <v>1.0</v>
      </c>
      <c r="F192" s="53">
        <v>0.0</v>
      </c>
      <c r="G192" s="53">
        <v>0.0</v>
      </c>
      <c r="H192" s="53">
        <v>1.0</v>
      </c>
      <c r="I192" s="24">
        <f t="shared" si="25"/>
        <v>11461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>
      <c r="A193" s="18"/>
      <c r="B193" s="31" t="s">
        <v>16</v>
      </c>
      <c r="C193" s="53">
        <v>12375.0</v>
      </c>
      <c r="D193" s="53">
        <v>146.0</v>
      </c>
      <c r="E193" s="53">
        <v>3.0</v>
      </c>
      <c r="F193" s="53">
        <v>5.0</v>
      </c>
      <c r="G193" s="53">
        <v>0.0</v>
      </c>
      <c r="H193" s="53">
        <v>12.0</v>
      </c>
      <c r="I193" s="24">
        <f t="shared" si="25"/>
        <v>12541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>
      <c r="A194" s="18"/>
      <c r="B194" s="31" t="s">
        <v>17</v>
      </c>
      <c r="C194" s="53">
        <v>6962.0</v>
      </c>
      <c r="D194" s="53">
        <v>88.0</v>
      </c>
      <c r="E194" s="53">
        <v>2.0</v>
      </c>
      <c r="F194" s="53">
        <v>2.0</v>
      </c>
      <c r="G194" s="53">
        <v>0.0</v>
      </c>
      <c r="H194" s="53">
        <v>11.0</v>
      </c>
      <c r="I194" s="24">
        <f t="shared" si="25"/>
        <v>7065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>
      <c r="A195" s="18"/>
      <c r="B195" s="31" t="s">
        <v>18</v>
      </c>
      <c r="C195" s="53">
        <v>6636.0</v>
      </c>
      <c r="D195" s="53">
        <v>39.0</v>
      </c>
      <c r="E195" s="53">
        <v>1.0</v>
      </c>
      <c r="F195" s="53">
        <v>1.0</v>
      </c>
      <c r="G195" s="53">
        <v>0.0</v>
      </c>
      <c r="H195" s="53">
        <v>0.0</v>
      </c>
      <c r="I195" s="24">
        <f t="shared" si="25"/>
        <v>6677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>
      <c r="A196" s="18"/>
      <c r="B196" s="31" t="s">
        <v>19</v>
      </c>
      <c r="C196" s="53">
        <v>6093.0</v>
      </c>
      <c r="D196" s="53">
        <v>18.0</v>
      </c>
      <c r="E196" s="53">
        <v>3.0</v>
      </c>
      <c r="F196" s="53">
        <v>2.0</v>
      </c>
      <c r="G196" s="53">
        <v>0.0</v>
      </c>
      <c r="H196" s="53">
        <v>1.0</v>
      </c>
      <c r="I196" s="24">
        <f t="shared" si="25"/>
        <v>6117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>
      <c r="A197" s="18"/>
      <c r="B197" s="31" t="s">
        <v>20</v>
      </c>
      <c r="C197" s="53">
        <v>9570.0</v>
      </c>
      <c r="D197" s="53">
        <v>208.0</v>
      </c>
      <c r="E197" s="53">
        <v>4.0</v>
      </c>
      <c r="F197" s="53">
        <v>6.0</v>
      </c>
      <c r="G197" s="53">
        <v>1.0</v>
      </c>
      <c r="H197" s="53">
        <v>20.0</v>
      </c>
      <c r="I197" s="24">
        <f t="shared" si="25"/>
        <v>9809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>
      <c r="A198" s="18"/>
      <c r="B198" s="31" t="s">
        <v>21</v>
      </c>
      <c r="C198" s="53">
        <v>5746.0</v>
      </c>
      <c r="D198" s="53">
        <v>148.0</v>
      </c>
      <c r="E198" s="53">
        <v>0.0</v>
      </c>
      <c r="F198" s="53">
        <v>0.0</v>
      </c>
      <c r="G198" s="53">
        <v>1.0</v>
      </c>
      <c r="H198" s="53">
        <v>22.0</v>
      </c>
      <c r="I198" s="24">
        <f t="shared" si="25"/>
        <v>5917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>
      <c r="A199" s="18"/>
      <c r="B199" s="26" t="s">
        <v>22</v>
      </c>
      <c r="C199" s="24">
        <f t="shared" ref="C199:I199" si="26">SUM(C187:C198)</f>
        <v>74458</v>
      </c>
      <c r="D199" s="24">
        <f t="shared" si="26"/>
        <v>959</v>
      </c>
      <c r="E199" s="24">
        <f t="shared" si="26"/>
        <v>57</v>
      </c>
      <c r="F199" s="24">
        <f t="shared" si="26"/>
        <v>53</v>
      </c>
      <c r="G199" s="24">
        <f t="shared" si="26"/>
        <v>3</v>
      </c>
      <c r="H199" s="24">
        <f t="shared" si="26"/>
        <v>80</v>
      </c>
      <c r="I199" s="27">
        <f t="shared" si="26"/>
        <v>75610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>
      <c r="A201" s="18"/>
      <c r="B201" s="29" t="s">
        <v>168</v>
      </c>
      <c r="C201" s="16"/>
      <c r="D201" s="16"/>
      <c r="E201" s="16"/>
      <c r="F201" s="16"/>
      <c r="G201" s="16"/>
      <c r="H201" s="16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>
      <c r="A202" s="18"/>
      <c r="B202" s="19" t="s">
        <v>38</v>
      </c>
      <c r="C202" s="20" t="s">
        <v>169</v>
      </c>
      <c r="D202" s="20" t="s">
        <v>170</v>
      </c>
      <c r="E202" s="20" t="s">
        <v>171</v>
      </c>
      <c r="F202" s="20" t="s">
        <v>172</v>
      </c>
      <c r="G202" s="20" t="s">
        <v>173</v>
      </c>
      <c r="H202" s="20" t="s">
        <v>153</v>
      </c>
      <c r="I202" s="21" t="s">
        <v>22</v>
      </c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>
      <c r="A203" s="18"/>
      <c r="B203" s="31" t="s">
        <v>10</v>
      </c>
      <c r="C203" s="53">
        <v>2049.0</v>
      </c>
      <c r="D203" s="53">
        <v>696.0</v>
      </c>
      <c r="E203" s="53">
        <v>35.0</v>
      </c>
      <c r="F203" s="53">
        <v>0.0</v>
      </c>
      <c r="G203" s="53">
        <v>0.0</v>
      </c>
      <c r="H203" s="53">
        <v>61.0</v>
      </c>
      <c r="I203" s="24">
        <f t="shared" ref="I203:I214" si="27">SUM(C203:H203)</f>
        <v>2841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>
      <c r="A204" s="18"/>
      <c r="B204" s="31" t="s">
        <v>11</v>
      </c>
      <c r="C204" s="53">
        <v>2811.0</v>
      </c>
      <c r="D204" s="53">
        <v>258.0</v>
      </c>
      <c r="E204" s="53">
        <v>3.0</v>
      </c>
      <c r="F204" s="53">
        <v>0.0</v>
      </c>
      <c r="G204" s="53">
        <v>0.0</v>
      </c>
      <c r="H204" s="53">
        <v>7.0</v>
      </c>
      <c r="I204" s="24">
        <f t="shared" si="27"/>
        <v>3079</v>
      </c>
      <c r="J204" s="18"/>
      <c r="K204" s="2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>
      <c r="A205" s="18"/>
      <c r="B205" s="31" t="s">
        <v>12</v>
      </c>
      <c r="C205" s="53">
        <v>1857.0</v>
      </c>
      <c r="D205" s="53">
        <v>227.0</v>
      </c>
      <c r="E205" s="53">
        <v>16.0</v>
      </c>
      <c r="F205" s="53">
        <v>0.0</v>
      </c>
      <c r="G205" s="53">
        <v>0.0</v>
      </c>
      <c r="H205" s="53">
        <v>8.0</v>
      </c>
      <c r="I205" s="24">
        <f t="shared" si="27"/>
        <v>2108</v>
      </c>
      <c r="J205" s="18"/>
      <c r="K205" s="2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>
      <c r="A206" s="18"/>
      <c r="B206" s="31" t="s">
        <v>13</v>
      </c>
      <c r="C206" s="53">
        <v>4011.0</v>
      </c>
      <c r="D206" s="53">
        <v>456.0</v>
      </c>
      <c r="E206" s="53">
        <v>6.0</v>
      </c>
      <c r="F206" s="53">
        <v>0.0</v>
      </c>
      <c r="G206" s="53">
        <v>0.0</v>
      </c>
      <c r="H206" s="53">
        <v>6.0</v>
      </c>
      <c r="I206" s="24">
        <f t="shared" si="27"/>
        <v>4479</v>
      </c>
      <c r="J206" s="18"/>
      <c r="K206" s="2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>
      <c r="A207" s="18"/>
      <c r="B207" s="31" t="s">
        <v>14</v>
      </c>
      <c r="C207" s="53">
        <v>3379.0</v>
      </c>
      <c r="D207" s="53">
        <v>124.0</v>
      </c>
      <c r="E207" s="53">
        <v>10.0</v>
      </c>
      <c r="F207" s="53">
        <v>0.0</v>
      </c>
      <c r="G207" s="53">
        <v>0.0</v>
      </c>
      <c r="H207" s="53">
        <v>3.0</v>
      </c>
      <c r="I207" s="24">
        <f t="shared" si="27"/>
        <v>3516</v>
      </c>
      <c r="J207" s="18"/>
      <c r="K207" s="2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>
      <c r="A208" s="18"/>
      <c r="B208" s="31" t="s">
        <v>15</v>
      </c>
      <c r="C208" s="53">
        <v>10069.0</v>
      </c>
      <c r="D208" s="53">
        <v>1306.0</v>
      </c>
      <c r="E208" s="53">
        <v>66.0</v>
      </c>
      <c r="F208" s="53">
        <v>0.0</v>
      </c>
      <c r="G208" s="53">
        <v>0.0</v>
      </c>
      <c r="H208" s="53">
        <v>20.0</v>
      </c>
      <c r="I208" s="24">
        <f t="shared" si="27"/>
        <v>11461</v>
      </c>
      <c r="J208" s="18"/>
      <c r="K208" s="2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>
      <c r="A209" s="18"/>
      <c r="B209" s="31" t="s">
        <v>16</v>
      </c>
      <c r="C209" s="53">
        <v>10975.0</v>
      </c>
      <c r="D209" s="53">
        <v>1459.0</v>
      </c>
      <c r="E209" s="53">
        <v>53.0</v>
      </c>
      <c r="F209" s="53">
        <v>0.0</v>
      </c>
      <c r="G209" s="53">
        <v>2.0</v>
      </c>
      <c r="H209" s="53">
        <v>52.0</v>
      </c>
      <c r="I209" s="24">
        <f t="shared" si="27"/>
        <v>12541</v>
      </c>
      <c r="J209" s="18"/>
      <c r="K209" s="2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>
      <c r="A210" s="18"/>
      <c r="B210" s="31" t="s">
        <v>17</v>
      </c>
      <c r="C210" s="53">
        <v>6241.0</v>
      </c>
      <c r="D210" s="53">
        <v>654.0</v>
      </c>
      <c r="E210" s="53">
        <v>105.0</v>
      </c>
      <c r="F210" s="53">
        <v>0.0</v>
      </c>
      <c r="G210" s="53">
        <v>0.0</v>
      </c>
      <c r="H210" s="53">
        <v>65.0</v>
      </c>
      <c r="I210" s="24">
        <f t="shared" si="27"/>
        <v>7065</v>
      </c>
      <c r="J210" s="18"/>
      <c r="K210" s="2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>
      <c r="A211" s="18"/>
      <c r="B211" s="31" t="s">
        <v>18</v>
      </c>
      <c r="C211" s="53">
        <v>6323.0</v>
      </c>
      <c r="D211" s="53">
        <v>324.0</v>
      </c>
      <c r="E211" s="53">
        <v>17.0</v>
      </c>
      <c r="F211" s="53">
        <v>0.0</v>
      </c>
      <c r="G211" s="53">
        <v>0.0</v>
      </c>
      <c r="H211" s="53">
        <v>13.0</v>
      </c>
      <c r="I211" s="24">
        <f t="shared" si="27"/>
        <v>6677</v>
      </c>
      <c r="J211" s="18"/>
      <c r="K211" s="2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>
      <c r="A212" s="18"/>
      <c r="B212" s="31" t="s">
        <v>19</v>
      </c>
      <c r="C212" s="53">
        <v>5781.0</v>
      </c>
      <c r="D212" s="53">
        <v>329.0</v>
      </c>
      <c r="E212" s="53">
        <v>3.0</v>
      </c>
      <c r="F212" s="53">
        <v>0.0</v>
      </c>
      <c r="G212" s="53">
        <v>1.0</v>
      </c>
      <c r="H212" s="53">
        <v>3.0</v>
      </c>
      <c r="I212" s="24">
        <f t="shared" si="27"/>
        <v>6117</v>
      </c>
      <c r="J212" s="18"/>
      <c r="K212" s="2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>
      <c r="A213" s="18"/>
      <c r="B213" s="31" t="s">
        <v>20</v>
      </c>
      <c r="C213" s="53">
        <v>8882.0</v>
      </c>
      <c r="D213" s="53">
        <v>633.0</v>
      </c>
      <c r="E213" s="53">
        <v>151.0</v>
      </c>
      <c r="F213" s="53">
        <v>1.0</v>
      </c>
      <c r="G213" s="53">
        <v>0.0</v>
      </c>
      <c r="H213" s="53">
        <v>142.0</v>
      </c>
      <c r="I213" s="24">
        <f t="shared" si="27"/>
        <v>9809</v>
      </c>
      <c r="J213" s="18"/>
      <c r="K213" s="2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>
      <c r="A214" s="18"/>
      <c r="B214" s="31" t="s">
        <v>21</v>
      </c>
      <c r="C214" s="53">
        <v>4877.0</v>
      </c>
      <c r="D214" s="53">
        <v>920.0</v>
      </c>
      <c r="E214" s="53">
        <v>48.0</v>
      </c>
      <c r="F214" s="53">
        <v>2.0</v>
      </c>
      <c r="G214" s="53">
        <v>0.0</v>
      </c>
      <c r="H214" s="53">
        <v>70.0</v>
      </c>
      <c r="I214" s="24">
        <f t="shared" si="27"/>
        <v>5917</v>
      </c>
      <c r="J214" s="18"/>
      <c r="K214" s="2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>
      <c r="A215" s="18"/>
      <c r="B215" s="26" t="s">
        <v>22</v>
      </c>
      <c r="C215" s="24">
        <f t="shared" ref="C215:I215" si="28">SUM(C203:C214)</f>
        <v>67255</v>
      </c>
      <c r="D215" s="24">
        <f t="shared" si="28"/>
        <v>7386</v>
      </c>
      <c r="E215" s="24">
        <f t="shared" si="28"/>
        <v>513</v>
      </c>
      <c r="F215" s="24">
        <f t="shared" si="28"/>
        <v>3</v>
      </c>
      <c r="G215" s="24">
        <f t="shared" si="28"/>
        <v>3</v>
      </c>
      <c r="H215" s="24">
        <f t="shared" si="28"/>
        <v>450</v>
      </c>
      <c r="I215" s="27">
        <f t="shared" si="28"/>
        <v>75610</v>
      </c>
      <c r="J215" s="18"/>
      <c r="K215" s="2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2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>
      <c r="A217" s="18"/>
      <c r="B217" s="29" t="s">
        <v>174</v>
      </c>
      <c r="C217" s="16"/>
      <c r="D217" s="16"/>
      <c r="E217" s="16"/>
      <c r="F217" s="16"/>
      <c r="G217" s="18"/>
      <c r="H217" s="18"/>
      <c r="I217" s="18"/>
      <c r="J217" s="18"/>
      <c r="K217" s="2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>
      <c r="A218" s="18"/>
      <c r="B218" s="19" t="s">
        <v>38</v>
      </c>
      <c r="C218" s="20" t="s">
        <v>22</v>
      </c>
      <c r="D218" s="20" t="s">
        <v>175</v>
      </c>
      <c r="E218" s="20" t="s">
        <v>176</v>
      </c>
      <c r="F218" s="21" t="s">
        <v>22</v>
      </c>
      <c r="H218" s="18"/>
      <c r="I218" s="18"/>
      <c r="J218" s="18"/>
      <c r="K218" s="2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>
      <c r="A219" s="18"/>
      <c r="B219" s="31" t="s">
        <v>10</v>
      </c>
      <c r="C219" s="53">
        <v>2740.0</v>
      </c>
      <c r="D219" s="53">
        <v>10.0</v>
      </c>
      <c r="E219" s="53">
        <v>91.0</v>
      </c>
      <c r="F219" s="24">
        <f t="shared" ref="F219:F230" si="29">SUM(C219:E219)</f>
        <v>2841</v>
      </c>
      <c r="H219" s="18"/>
      <c r="I219" s="18"/>
      <c r="J219" s="18"/>
      <c r="K219" s="2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>
      <c r="A220" s="18"/>
      <c r="B220" s="31" t="s">
        <v>11</v>
      </c>
      <c r="C220" s="53">
        <v>2804.0</v>
      </c>
      <c r="D220" s="53">
        <v>32.0</v>
      </c>
      <c r="E220" s="53">
        <v>243.0</v>
      </c>
      <c r="F220" s="24">
        <f t="shared" si="29"/>
        <v>3079</v>
      </c>
      <c r="H220" s="18"/>
      <c r="I220" s="18"/>
      <c r="J220" s="18"/>
      <c r="K220" s="2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>
      <c r="A221" s="18"/>
      <c r="B221" s="31" t="s">
        <v>12</v>
      </c>
      <c r="C221" s="53">
        <v>1329.0</v>
      </c>
      <c r="D221" s="53">
        <v>67.0</v>
      </c>
      <c r="E221" s="53">
        <v>712.0</v>
      </c>
      <c r="F221" s="24">
        <f t="shared" si="29"/>
        <v>2108</v>
      </c>
      <c r="H221" s="18"/>
      <c r="I221" s="18"/>
      <c r="J221" s="18"/>
      <c r="K221" s="2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>
      <c r="A222" s="18"/>
      <c r="B222" s="31" t="s">
        <v>13</v>
      </c>
      <c r="C222" s="53">
        <v>4352.0</v>
      </c>
      <c r="D222" s="53">
        <v>9.0</v>
      </c>
      <c r="E222" s="53">
        <v>118.0</v>
      </c>
      <c r="F222" s="24">
        <f t="shared" si="29"/>
        <v>4479</v>
      </c>
      <c r="H222" s="18"/>
      <c r="I222" s="18"/>
      <c r="J222" s="18"/>
      <c r="K222" s="2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>
      <c r="A223" s="18"/>
      <c r="B223" s="31" t="s">
        <v>14</v>
      </c>
      <c r="C223" s="53">
        <v>3406.0</v>
      </c>
      <c r="D223" s="53">
        <v>9.0</v>
      </c>
      <c r="E223" s="53">
        <v>101.0</v>
      </c>
      <c r="F223" s="24">
        <f t="shared" si="29"/>
        <v>3516</v>
      </c>
      <c r="H223" s="18"/>
      <c r="I223" s="18"/>
      <c r="J223" s="18"/>
      <c r="K223" s="2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>
      <c r="A224" s="18"/>
      <c r="B224" s="31" t="s">
        <v>15</v>
      </c>
      <c r="C224" s="53">
        <v>11225.0</v>
      </c>
      <c r="D224" s="53">
        <v>38.0</v>
      </c>
      <c r="E224" s="53">
        <v>198.0</v>
      </c>
      <c r="F224" s="24">
        <f t="shared" si="29"/>
        <v>11461</v>
      </c>
      <c r="H224" s="18"/>
      <c r="I224" s="18"/>
      <c r="J224" s="18"/>
      <c r="K224" s="2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>
      <c r="A225" s="18"/>
      <c r="B225" s="31" t="s">
        <v>16</v>
      </c>
      <c r="C225" s="53">
        <v>12406.0</v>
      </c>
      <c r="D225" s="53">
        <v>20.0</v>
      </c>
      <c r="E225" s="53">
        <v>115.0</v>
      </c>
      <c r="F225" s="24">
        <f t="shared" si="29"/>
        <v>12541</v>
      </c>
      <c r="H225" s="18"/>
      <c r="I225" s="18"/>
      <c r="J225" s="18"/>
      <c r="K225" s="2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>
      <c r="A226" s="18"/>
      <c r="B226" s="31" t="s">
        <v>17</v>
      </c>
      <c r="C226" s="53">
        <v>6827.0</v>
      </c>
      <c r="D226" s="53">
        <v>42.0</v>
      </c>
      <c r="E226" s="53">
        <v>196.0</v>
      </c>
      <c r="F226" s="24">
        <f t="shared" si="29"/>
        <v>7065</v>
      </c>
      <c r="H226" s="18"/>
      <c r="I226" s="18"/>
      <c r="J226" s="18"/>
      <c r="K226" s="2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>
      <c r="A227" s="18"/>
      <c r="B227" s="31" t="s">
        <v>18</v>
      </c>
      <c r="C227" s="53">
        <v>6583.0</v>
      </c>
      <c r="D227" s="53">
        <v>12.0</v>
      </c>
      <c r="E227" s="53">
        <v>82.0</v>
      </c>
      <c r="F227" s="24">
        <f t="shared" si="29"/>
        <v>6677</v>
      </c>
      <c r="H227" s="18"/>
      <c r="I227" s="18"/>
      <c r="J227" s="18"/>
      <c r="K227" s="2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>
      <c r="A228" s="18"/>
      <c r="B228" s="31" t="s">
        <v>19</v>
      </c>
      <c r="C228" s="53">
        <v>6065.0</v>
      </c>
      <c r="D228" s="53">
        <v>14.0</v>
      </c>
      <c r="E228" s="53">
        <v>38.0</v>
      </c>
      <c r="F228" s="24">
        <f t="shared" si="29"/>
        <v>6117</v>
      </c>
      <c r="H228" s="18"/>
      <c r="I228" s="18"/>
      <c r="J228" s="18"/>
      <c r="K228" s="2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>
      <c r="A229" s="18"/>
      <c r="B229" s="31" t="s">
        <v>20</v>
      </c>
      <c r="C229" s="53">
        <v>9149.0</v>
      </c>
      <c r="D229" s="53">
        <v>86.0</v>
      </c>
      <c r="E229" s="53">
        <v>574.0</v>
      </c>
      <c r="F229" s="24">
        <f t="shared" si="29"/>
        <v>9809</v>
      </c>
      <c r="H229" s="18"/>
      <c r="I229" s="18"/>
      <c r="J229" s="18"/>
      <c r="K229" s="2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>
      <c r="A230" s="18"/>
      <c r="B230" s="31" t="s">
        <v>21</v>
      </c>
      <c r="C230" s="53">
        <v>5724.0</v>
      </c>
      <c r="D230" s="53">
        <v>19.0</v>
      </c>
      <c r="E230" s="53">
        <v>174.0</v>
      </c>
      <c r="F230" s="24">
        <f t="shared" si="29"/>
        <v>5917</v>
      </c>
      <c r="H230" s="18"/>
      <c r="I230" s="18"/>
      <c r="J230" s="18"/>
      <c r="K230" s="2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>
      <c r="A231" s="18"/>
      <c r="B231" s="26" t="s">
        <v>22</v>
      </c>
      <c r="C231" s="24">
        <f t="shared" ref="C231:F231" si="30">SUM(C219:C230)</f>
        <v>72610</v>
      </c>
      <c r="D231" s="24">
        <f t="shared" si="30"/>
        <v>358</v>
      </c>
      <c r="E231" s="24">
        <f t="shared" si="30"/>
        <v>2642</v>
      </c>
      <c r="F231" s="27">
        <f t="shared" si="30"/>
        <v>75610</v>
      </c>
      <c r="H231" s="18"/>
      <c r="I231" s="18"/>
      <c r="J231" s="18"/>
      <c r="K231" s="2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2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hidden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2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hidden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2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hidden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2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hidden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2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hidden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2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hidden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2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hidden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2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hidden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2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hidden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2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hidden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2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hidden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2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hidden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2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hidden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2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hidden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2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hidden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2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hidden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2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hidden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2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hidden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2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hidden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2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hidden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2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hidden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2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hidden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2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hidden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2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hidden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2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hidden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2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hidden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2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hidden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2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hidden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2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hidden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2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hidden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2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hidden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2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hidden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2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hidden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2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hidden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2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hidden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2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hidden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2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hidden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2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hidden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2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hidden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2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hidden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2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hidden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2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hidden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2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hidden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2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hidden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2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hidden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2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hidden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2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hidden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2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hidden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2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hidden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2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hidden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2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hidden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2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hidden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2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hidden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2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hidden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2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hidden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2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hidden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2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hidden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2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hidden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2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hidden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2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hidden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2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hidden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2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hidden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2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hidden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2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hidden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2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hidden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2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hidden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2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hidden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2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hidden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2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hidden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2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hidden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2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hidden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2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hidden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2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hidden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2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hidden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2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hidden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2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hidden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2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hidden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2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hidden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2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hidden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2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hidden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2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hidden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2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hidden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2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hidden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2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hidden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2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hidden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2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hidden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2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hidden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2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hidden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2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hidden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2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hidden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2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hidden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2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hidden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2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hidden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2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hidden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2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hidden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2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hidden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2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hidden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2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hidden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2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hidden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2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hidden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2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hidden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2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hidden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2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hidden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2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hidden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2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hidden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2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hidden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2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hidden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2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hidden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2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hidden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2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hidden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2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hidden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2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hidden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2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hidden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2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hidden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2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hidden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2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hidden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2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hidden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2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hidden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2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hidden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2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hidden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2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hidden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2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hidden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2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hidden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2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hidden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2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hidden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2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hidden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2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hidden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2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hidden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2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hidden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2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hidden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2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hidden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2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hidden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2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hidden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2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hidden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2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hidden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2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hidden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2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hidden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2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hidden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2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hidden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2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hidden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2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hidden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2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hidden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2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hidden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2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hidden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2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hidden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2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hidden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2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hidden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2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hidden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2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hidden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2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hidden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2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hidden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2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hidden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2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hidden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2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hidden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2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hidden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2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hidden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2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hidden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2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hidden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2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hidden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2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hidden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2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hidden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2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hidden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2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hidden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2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hidden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2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hidden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2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hidden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2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hidden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2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hidden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2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hidden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2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hidden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2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hidden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2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hidden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2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hidden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2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hidden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2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hidden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2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hidden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2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hidden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2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hidden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2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hidden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2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hidden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2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hidden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2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hidden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2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hidden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2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hidden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2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hidden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2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hidden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2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hidden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2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hidden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2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hidden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2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hidden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2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hidden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2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hidden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2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hidden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2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hidden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2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hidden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2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hidden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2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hidden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2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hidden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2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hidden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2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hidden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2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hidden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2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hidden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2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hidden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2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hidden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2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hidden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2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hidden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2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hidden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2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hidden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2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hidden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2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hidden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2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hidden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2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hidden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2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hidden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2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hidden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2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hidden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2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hidden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2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hidden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2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hidden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2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hidden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2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hidden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2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hidden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2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hidden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2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hidden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2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hidden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2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hidden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2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hidden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2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hidden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2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hidden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2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hidden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2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hidden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2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hidden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2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hidden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2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hidden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2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hidden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2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hidden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2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hidden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2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hidden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2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hidden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2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hidden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2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hidden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2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hidden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2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hidden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2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hidden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2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hidden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2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hidden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2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hidden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2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hidden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2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hidden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2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hidden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2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hidden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2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hidden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2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hidden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2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hidden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2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hidden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2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hidden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2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hidden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2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hidden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2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hidden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2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hidden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2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hidden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2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hidden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2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hidden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2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hidden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2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hidden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2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hidden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2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hidden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2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hidden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2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hidden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2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hidden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2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hidden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2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hidden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2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hidden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2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hidden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2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hidden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2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hidden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2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hidden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2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hidden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2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hidden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2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hidden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2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hidden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2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hidden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2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hidden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2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hidden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2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hidden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2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hidden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2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hidden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2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hidden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2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hidden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2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hidden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2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hidden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2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hidden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2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hidden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2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hidden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2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hidden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2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hidden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2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hidden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2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hidden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2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hidden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2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hidden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2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hidden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2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hidden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2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hidden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2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hidden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2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hidden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2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hidden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2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hidden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2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hidden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2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hidden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2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hidden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2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hidden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2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hidden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2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hidden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2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hidden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2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hidden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2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hidden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2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hidden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2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hidden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2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hidden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2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hidden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2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hidden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2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hidden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2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hidden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2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hidden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2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hidden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2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hidden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2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hidden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2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hidden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2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hidden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2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hidden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2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hidden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2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hidden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2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hidden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2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hidden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2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hidden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2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hidden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2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hidden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2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hidden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2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hidden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2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hidden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2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hidden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2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hidden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2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hidden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2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hidden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2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hidden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2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hidden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2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hidden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2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hidden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2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hidden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2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hidden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2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hidden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2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hidden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2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hidden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2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hidden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2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hidden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2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hidden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2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hidden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2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hidden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2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hidden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2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hidden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2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hidden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2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hidden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2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hidden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2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hidden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2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hidden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2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hidden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2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hidden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2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hidden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2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hidden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2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hidden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2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hidden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2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hidden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2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hidden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2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hidden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2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hidden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2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hidden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2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hidden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2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hidden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2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hidden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2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hidden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2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hidden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2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hidden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2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hidden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2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hidden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2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hidden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2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hidden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2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hidden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2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hidden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2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hidden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2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hidden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2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hidden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2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hidden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2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hidden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2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hidden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2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hidden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2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hidden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2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hidden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2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hidden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2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hidden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2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hidden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2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hidden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2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hidden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2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hidden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2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hidden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2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hidden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2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hidden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2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hidden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2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hidden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2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hidden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2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hidden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2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hidden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2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hidden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2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hidden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2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hidden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2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hidden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2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hidden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2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hidden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2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hidden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2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hidden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2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hidden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2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hidden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2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hidden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2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hidden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2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hidden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2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hidden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2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hidden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2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hidden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2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hidden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2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hidden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2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hidden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2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hidden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2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hidden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2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hidden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2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hidden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2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hidden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2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hidden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2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hidden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2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hidden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2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hidden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2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hidden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2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hidden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2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hidden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2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hidden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2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hidden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2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hidden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2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hidden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2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hidden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2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hidden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2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hidden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2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hidden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2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hidden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2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hidden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2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hidden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2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hidden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2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hidden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2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hidden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2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hidden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2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hidden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2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hidden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2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hidden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2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hidden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2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hidden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2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hidden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2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hidden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2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hidden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2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hidden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2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hidden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2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hidden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2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hidden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2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hidden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2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hidden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2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hidden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2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hidden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2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hidden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2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hidden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2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hidden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2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hidden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2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hidden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2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hidden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2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hidden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2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hidden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2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hidden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2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hidden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2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hidden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2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hidden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2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hidden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2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hidden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2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hidden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2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hidden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2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hidden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2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hidden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2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hidden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2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hidden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2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hidden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2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hidden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2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hidden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2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hidden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2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hidden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2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hidden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2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hidden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2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hidden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2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hidden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2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hidden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2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hidden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2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hidden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2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hidden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2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hidden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2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hidden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2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hidden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2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hidden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2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hidden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2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hidden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2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hidden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2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hidden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2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hidden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2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hidden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2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hidden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2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hidden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2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hidden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2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hidden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2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hidden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2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hidden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2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hidden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2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hidden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2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hidden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2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hidden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2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hidden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2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hidden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2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hidden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2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hidden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2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hidden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2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hidden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2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hidden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2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hidden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2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hidden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2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hidden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2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hidden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2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hidden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2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hidden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2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hidden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2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hidden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2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hidden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2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hidden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2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hidden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2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hidden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2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hidden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2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hidden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2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hidden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2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hidden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2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hidden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2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hidden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2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hidden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2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hidden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2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hidden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2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hidden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2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hidden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2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hidden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2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hidden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2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hidden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2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hidden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2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hidden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2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hidden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2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hidden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2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hidden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2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hidden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2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hidden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2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hidden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2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hidden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2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hidden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2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hidden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2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hidden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2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hidden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2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hidden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2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hidden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2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hidden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2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hidden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2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hidden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2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hidden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2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hidden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2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hidden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2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hidden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2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hidden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2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hidden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2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hidden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2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hidden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2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hidden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2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hidden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2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hidden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2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hidden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2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hidden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2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hidden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2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hidden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2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hidden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2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hidden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2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hidden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2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hidden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2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hidden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2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hidden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2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hidden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2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hidden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2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hidden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2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hidden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2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hidden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2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hidden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2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hidden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2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hidden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2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hidden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2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hidden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2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hidden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2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hidden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2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hidden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2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hidden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2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hidden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2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hidden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2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hidden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2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hidden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2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hidden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2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hidden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2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hidden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2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hidden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2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hidden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2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hidden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2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hidden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2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hidden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2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hidden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2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hidden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2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hidden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2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hidden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2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hidden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2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hidden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2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hidden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2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hidden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2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hidden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2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hidden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2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hidden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2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hidden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2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hidden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2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hidden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2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hidden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2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hidden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2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hidden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2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hidden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2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hidden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2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hidden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2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hidden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2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hidden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2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hidden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2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hidden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2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hidden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2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hidden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2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hidden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2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hidden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2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hidden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2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hidden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2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hidden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2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hidden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2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hidden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2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hidden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2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hidden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2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hidden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2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hidden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2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hidden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2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hidden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2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hidden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2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hidden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2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hidden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2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hidden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2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hidden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2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hidden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2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hidden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2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hidden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2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hidden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2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hidden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2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hidden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2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hidden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2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hidden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2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hidden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2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hidden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2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hidden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2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hidden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2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hidden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2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hidden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2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hidden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2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hidden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2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hidden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2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hidden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2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hidden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2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hidden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2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hidden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2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hidden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2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hidden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2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hidden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2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hidden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2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hidden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2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hidden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2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hidden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2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hidden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2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hidden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2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hidden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2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hidden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2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hidden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2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hidden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2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hidden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2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hidden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2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hidden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2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hidden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2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hidden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2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hidden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2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hidden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2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hidden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2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hidden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2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hidden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2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hidden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2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hidden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2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hidden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2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hidden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2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hidden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2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hidden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2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hidden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2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hidden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2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hidden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2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hidden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2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hidden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2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hidden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2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hidden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2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hidden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2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hidden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2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hidden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2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hidden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2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hidden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2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hidden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2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hidden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2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hidden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2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hidden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2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hidden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2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hidden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2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hidden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2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hidden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2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hidden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2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hidden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2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hidden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2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hidden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2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hidden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2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hidden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2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hidden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2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hidden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2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hidden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2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hidden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2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hidden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2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hidden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2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hidden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2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hidden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2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hidden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2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hidden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2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hidden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2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hidden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2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hidden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2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hidden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2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hidden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2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hidden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2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hidden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2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hidden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2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hidden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2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hidden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2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hidden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2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hidden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2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hidden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2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hidden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2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hidden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2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  <row r="1001" hidden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2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</row>
    <row r="1002" hidden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2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</row>
    <row r="1003" hidden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2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</row>
    <row r="1004" hidden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2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</row>
    <row r="1005" hidden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2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</row>
    <row r="1006" hidden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2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</row>
    <row r="1007" hidden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2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</row>
    <row r="1008" hidden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2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</row>
    <row r="1009" hidden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2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</row>
    <row r="1010" hidden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2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</row>
    <row r="1011" hidden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2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</row>
    <row r="1012" hidden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2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</row>
    <row r="1013" hidden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2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</row>
    <row r="1014" hidden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2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</row>
    <row r="1015" hidden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2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</row>
    <row r="1016" hidden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2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</row>
    <row r="1017" hidden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2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</row>
    <row r="1018" hidden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2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</row>
    <row r="1019" hidden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2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</row>
    <row r="1020" hidden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2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</row>
    <row r="1021" hidden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2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</row>
    <row r="1022" hidden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2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</row>
    <row r="1023" hidden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2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</row>
    <row r="1024" hidden="1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2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</row>
    <row r="1025" hidden="1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2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</row>
    <row r="1026" hidden="1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2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</row>
    <row r="1027" hidden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2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</row>
    <row r="1028" hidden="1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2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</row>
    <row r="1029" hidden="1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2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</row>
    <row r="1030" hidden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2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</row>
    <row r="1031" hidden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2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</row>
    <row r="1032" hidden="1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2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</row>
    <row r="1033" hidden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2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</row>
    <row r="1034" hidden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2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</row>
    <row r="1035" hidden="1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2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</row>
    <row r="1036" hidden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2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</row>
    <row r="1037" hidden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2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</row>
    <row r="1038" hidden="1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2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</row>
    <row r="1039" hidden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2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</row>
    <row r="1040" hidden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2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</row>
    <row r="1041" hidden="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2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</row>
    <row r="1042" hidden="1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2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</row>
    <row r="1043" hidden="1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2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</row>
    <row r="1044" hidden="1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2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</row>
    <row r="1045" hidden="1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2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</row>
    <row r="1046" hidden="1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2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</row>
  </sheetData>
  <mergeCells count="22">
    <mergeCell ref="A1:N1"/>
    <mergeCell ref="B2:C2"/>
    <mergeCell ref="B3:C3"/>
    <mergeCell ref="B4:C4"/>
    <mergeCell ref="B5:C5"/>
    <mergeCell ref="B6:G6"/>
    <mergeCell ref="B8:G8"/>
    <mergeCell ref="B121:E121"/>
    <mergeCell ref="I121:M121"/>
    <mergeCell ref="B137:G137"/>
    <mergeCell ref="B153:E153"/>
    <mergeCell ref="B169:I169"/>
    <mergeCell ref="B185:I185"/>
    <mergeCell ref="B201:I201"/>
    <mergeCell ref="B217:F217"/>
    <mergeCell ref="B24:G24"/>
    <mergeCell ref="B40:E40"/>
    <mergeCell ref="G40:K40"/>
    <mergeCell ref="B57:J57"/>
    <mergeCell ref="B73:H73"/>
    <mergeCell ref="B89:K89"/>
    <mergeCell ref="B105:J10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3" max="3" width="22.13"/>
    <col customWidth="1" min="4" max="4" width="21.63"/>
    <col customWidth="1" min="5" max="6" width="19.25"/>
    <col customWidth="1" min="7" max="7" width="16.25"/>
    <col customWidth="1" min="8" max="8" width="21.38"/>
    <col customWidth="1" min="9" max="9" width="24.13"/>
    <col customWidth="1" min="10" max="10" width="3.5"/>
    <col customWidth="1" min="11" max="11" width="1.13"/>
    <col customWidth="1" hidden="1" min="12" max="12" width="19.75"/>
    <col hidden="1" min="13" max="26" width="12.63"/>
  </cols>
  <sheetData>
    <row r="1" ht="54.0" customHeight="1">
      <c r="A1" s="1" t="s">
        <v>177</v>
      </c>
    </row>
    <row r="2" ht="17.25" customHeight="1">
      <c r="A2" s="2"/>
      <c r="B2" s="3" t="s">
        <v>178</v>
      </c>
      <c r="D2" s="4" t="s">
        <v>2</v>
      </c>
      <c r="E2" s="5"/>
      <c r="F2" s="5"/>
      <c r="G2" s="2"/>
      <c r="H2" s="6"/>
      <c r="I2" s="6"/>
      <c r="J2" s="6"/>
      <c r="K2" s="7"/>
      <c r="L2" s="7"/>
    </row>
    <row r="3" ht="15.75" customHeight="1">
      <c r="A3" s="2"/>
      <c r="B3" s="8" t="s">
        <v>3</v>
      </c>
      <c r="D3" s="4" t="s">
        <v>4</v>
      </c>
      <c r="E3" s="5"/>
      <c r="F3" s="5"/>
      <c r="G3" s="2"/>
      <c r="H3" s="6"/>
      <c r="I3" s="6"/>
      <c r="J3" s="6"/>
      <c r="K3" s="10"/>
      <c r="L3" s="10"/>
    </row>
    <row r="4">
      <c r="A4" s="2"/>
      <c r="B4" s="8" t="s">
        <v>5</v>
      </c>
      <c r="D4" s="11" t="s">
        <v>6</v>
      </c>
      <c r="E4" s="12"/>
      <c r="F4" s="12"/>
      <c r="G4" s="2"/>
      <c r="H4" s="2"/>
      <c r="I4" s="2"/>
      <c r="J4" s="2"/>
      <c r="K4" s="2"/>
    </row>
    <row r="5" ht="1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20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</row>
    <row r="8" ht="29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33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25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27.0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N33" s="59"/>
      <c r="O33" s="59"/>
      <c r="P33" s="59"/>
      <c r="Q33" s="59"/>
      <c r="R33" s="59"/>
      <c r="S33" s="59"/>
    </row>
    <row r="34">
      <c r="A34" s="2"/>
      <c r="B34" s="2"/>
      <c r="C34" s="2"/>
      <c r="D34" s="2"/>
      <c r="E34" s="2"/>
      <c r="F34" s="2"/>
      <c r="G34" s="2"/>
      <c r="H34" s="2"/>
      <c r="K34" s="2"/>
      <c r="N34" s="59"/>
      <c r="O34" s="59"/>
      <c r="P34" s="59"/>
      <c r="Q34" s="59"/>
      <c r="R34" s="59"/>
      <c r="S34" s="59"/>
    </row>
    <row r="35">
      <c r="A35" s="2"/>
      <c r="B35" s="2"/>
      <c r="C35" s="2"/>
      <c r="D35" s="2"/>
      <c r="E35" s="2"/>
      <c r="F35" s="2"/>
      <c r="G35" s="2"/>
      <c r="H35" s="2"/>
      <c r="K35" s="2"/>
      <c r="N35" s="59"/>
      <c r="O35" s="59"/>
      <c r="P35" s="59"/>
      <c r="Q35" s="59"/>
      <c r="R35" s="59"/>
      <c r="S35" s="59"/>
    </row>
    <row r="36">
      <c r="A36" s="2"/>
      <c r="B36" s="2"/>
      <c r="C36" s="2"/>
      <c r="D36" s="2"/>
      <c r="E36" s="2"/>
      <c r="F36" s="2"/>
      <c r="G36" s="2"/>
      <c r="H36" s="2"/>
      <c r="K36" s="2"/>
      <c r="R36" s="59"/>
      <c r="S36" s="59"/>
    </row>
    <row r="37">
      <c r="A37" s="2"/>
      <c r="B37" s="2"/>
      <c r="C37" s="2"/>
      <c r="D37" s="2"/>
      <c r="E37" s="2"/>
      <c r="F37" s="2"/>
      <c r="G37" s="2"/>
      <c r="H37" s="2"/>
      <c r="K37" s="2"/>
      <c r="R37" s="59"/>
      <c r="S37" s="59"/>
    </row>
    <row r="38">
      <c r="A38" s="2"/>
      <c r="B38" s="2"/>
      <c r="C38" s="2"/>
      <c r="D38" s="2"/>
      <c r="E38" s="2"/>
      <c r="F38" s="2"/>
      <c r="G38" s="2"/>
      <c r="H38" s="2"/>
      <c r="K38" s="2"/>
      <c r="R38" s="59"/>
      <c r="S38" s="59"/>
    </row>
    <row r="39">
      <c r="A39" s="2"/>
      <c r="B39" s="2"/>
      <c r="C39" s="2"/>
      <c r="D39" s="2"/>
      <c r="E39" s="2"/>
      <c r="F39" s="2"/>
      <c r="G39" s="2"/>
      <c r="H39" s="2"/>
      <c r="K39" s="2"/>
      <c r="R39" s="59"/>
      <c r="S39" s="59"/>
    </row>
    <row r="40">
      <c r="A40" s="2"/>
      <c r="B40" s="2"/>
      <c r="C40" s="2"/>
      <c r="D40" s="2"/>
      <c r="E40" s="2"/>
      <c r="F40" s="2"/>
      <c r="G40" s="2"/>
      <c r="H40" s="2"/>
      <c r="K40" s="2"/>
      <c r="R40" s="59"/>
      <c r="S40" s="59"/>
    </row>
    <row r="41">
      <c r="A41" s="2"/>
      <c r="B41" s="2"/>
      <c r="C41" s="2"/>
      <c r="D41" s="2"/>
      <c r="E41" s="2"/>
      <c r="F41" s="2"/>
      <c r="G41" s="2"/>
      <c r="H41" s="2"/>
      <c r="K41" s="2"/>
      <c r="R41" s="59"/>
      <c r="S41" s="59"/>
    </row>
    <row r="42">
      <c r="A42" s="2"/>
      <c r="B42" s="2"/>
      <c r="C42" s="2"/>
      <c r="D42" s="2"/>
      <c r="E42" s="2"/>
      <c r="F42" s="2"/>
      <c r="G42" s="2"/>
      <c r="H42" s="2"/>
      <c r="K42" s="2"/>
      <c r="R42" s="59"/>
      <c r="S42" s="59"/>
    </row>
    <row r="43">
      <c r="A43" s="2"/>
      <c r="B43" s="2"/>
      <c r="C43" s="2"/>
      <c r="D43" s="2"/>
      <c r="E43" s="2"/>
      <c r="F43" s="2"/>
      <c r="G43" s="2"/>
      <c r="H43" s="2"/>
      <c r="K43" s="2"/>
      <c r="R43" s="59"/>
      <c r="S43" s="59"/>
    </row>
    <row r="44">
      <c r="A44" s="2"/>
      <c r="B44" s="2"/>
      <c r="C44" s="2"/>
      <c r="D44" s="2"/>
      <c r="E44" s="2"/>
      <c r="F44" s="2"/>
      <c r="G44" s="2"/>
      <c r="H44" s="2"/>
      <c r="K44" s="2"/>
      <c r="R44" s="59"/>
      <c r="S44" s="59"/>
    </row>
    <row r="45">
      <c r="A45" s="2"/>
      <c r="B45" s="2"/>
      <c r="C45" s="2"/>
      <c r="D45" s="2"/>
      <c r="E45" s="2"/>
      <c r="F45" s="2"/>
      <c r="G45" s="2"/>
      <c r="H45" s="2"/>
      <c r="K45" s="2"/>
      <c r="R45" s="59"/>
      <c r="S45" s="59"/>
    </row>
    <row r="46">
      <c r="A46" s="2"/>
      <c r="B46" s="2"/>
      <c r="C46" s="2"/>
      <c r="D46" s="2"/>
      <c r="E46" s="2"/>
      <c r="F46" s="2"/>
      <c r="G46" s="2"/>
      <c r="H46" s="2"/>
      <c r="K46" s="2"/>
      <c r="R46" s="59"/>
      <c r="S46" s="59"/>
    </row>
    <row r="47">
      <c r="A47" s="2"/>
      <c r="B47" s="2"/>
      <c r="C47" s="2"/>
      <c r="D47" s="2"/>
      <c r="E47" s="2"/>
      <c r="F47" s="2"/>
      <c r="G47" s="2"/>
      <c r="H47" s="2"/>
      <c r="K47" s="2"/>
      <c r="R47" s="59"/>
      <c r="S47" s="59"/>
    </row>
    <row r="48">
      <c r="A48" s="2"/>
      <c r="B48" s="2"/>
      <c r="C48" s="2"/>
      <c r="D48" s="2"/>
      <c r="E48" s="2"/>
      <c r="F48" s="2"/>
      <c r="G48" s="2"/>
      <c r="H48" s="2"/>
      <c r="K48" s="2"/>
      <c r="R48" s="59"/>
      <c r="S48" s="59"/>
    </row>
    <row r="49">
      <c r="A49" s="2"/>
      <c r="B49" s="2"/>
      <c r="C49" s="2"/>
      <c r="D49" s="2"/>
      <c r="E49" s="2"/>
      <c r="F49" s="2"/>
      <c r="G49" s="2"/>
      <c r="H49" s="2"/>
      <c r="K49" s="2"/>
    </row>
    <row r="50">
      <c r="A50" s="2"/>
      <c r="B50" s="2"/>
      <c r="C50" s="2"/>
      <c r="D50" s="2"/>
      <c r="E50" s="2"/>
      <c r="F50" s="2"/>
      <c r="G50" s="2"/>
      <c r="H50" s="2"/>
      <c r="K50" s="2"/>
    </row>
    <row r="51">
      <c r="A51" s="2"/>
      <c r="B51" s="2"/>
      <c r="C51" s="2"/>
      <c r="D51" s="2"/>
      <c r="E51" s="2"/>
      <c r="F51" s="2"/>
      <c r="G51" s="2"/>
      <c r="H51" s="2"/>
      <c r="K51" s="2"/>
    </row>
    <row r="52">
      <c r="A52" s="2"/>
      <c r="B52" s="2"/>
      <c r="C52" s="2"/>
      <c r="D52" s="2"/>
      <c r="E52" s="2"/>
      <c r="F52" s="2"/>
      <c r="G52" s="2"/>
      <c r="H52" s="2"/>
      <c r="K52" s="2"/>
    </row>
    <row r="53">
      <c r="A53" s="2"/>
      <c r="B53" s="2"/>
      <c r="C53" s="2"/>
      <c r="D53" s="2"/>
      <c r="E53" s="2"/>
      <c r="F53" s="2"/>
      <c r="G53" s="2"/>
      <c r="H53" s="2"/>
      <c r="K53" s="2"/>
    </row>
    <row r="54">
      <c r="A54" s="2"/>
      <c r="B54" s="2"/>
      <c r="C54" s="2"/>
      <c r="D54" s="2"/>
      <c r="E54" s="2"/>
      <c r="F54" s="2"/>
      <c r="G54" s="2"/>
      <c r="H54" s="2"/>
      <c r="K54" s="2"/>
    </row>
    <row r="55">
      <c r="K55" s="2"/>
    </row>
    <row r="56">
      <c r="K56" s="2"/>
    </row>
    <row r="57">
      <c r="K57" s="2"/>
    </row>
    <row r="58">
      <c r="K58" s="2"/>
    </row>
    <row r="59">
      <c r="K59" s="2"/>
    </row>
    <row r="60">
      <c r="K60" s="2"/>
    </row>
    <row r="61">
      <c r="K61" s="2"/>
    </row>
    <row r="62">
      <c r="K62" s="2"/>
    </row>
    <row r="63">
      <c r="K63" s="2"/>
    </row>
    <row r="64">
      <c r="K64" s="2"/>
    </row>
    <row r="65">
      <c r="K65" s="2"/>
    </row>
    <row r="66">
      <c r="K66" s="2"/>
    </row>
    <row r="67">
      <c r="K67" s="2"/>
    </row>
    <row r="68">
      <c r="C68" s="60"/>
      <c r="K68" s="2"/>
    </row>
    <row r="69">
      <c r="K69" s="2"/>
    </row>
    <row r="70">
      <c r="K70" s="2"/>
    </row>
    <row r="71">
      <c r="K71" s="2"/>
    </row>
    <row r="72">
      <c r="K72" s="2"/>
    </row>
    <row r="73">
      <c r="K73" s="2"/>
    </row>
    <row r="74">
      <c r="K74" s="2"/>
    </row>
    <row r="75">
      <c r="K75" s="2"/>
    </row>
    <row r="76">
      <c r="K76" s="2"/>
    </row>
    <row r="77">
      <c r="K77" s="2"/>
    </row>
    <row r="78">
      <c r="K78" s="2"/>
    </row>
    <row r="79">
      <c r="K79" s="2"/>
    </row>
    <row r="80">
      <c r="K80" s="2"/>
    </row>
    <row r="81">
      <c r="K81" s="2"/>
    </row>
    <row r="82">
      <c r="K82" s="2"/>
    </row>
    <row r="83">
      <c r="K83" s="2"/>
    </row>
    <row r="84">
      <c r="K84" s="2"/>
    </row>
    <row r="85">
      <c r="K85" s="2"/>
    </row>
    <row r="86">
      <c r="K86" s="2"/>
    </row>
    <row r="87">
      <c r="K87" s="2"/>
    </row>
    <row r="88">
      <c r="K88" s="2"/>
    </row>
    <row r="89">
      <c r="H89" s="61" t="s">
        <v>28</v>
      </c>
      <c r="K89" s="2"/>
    </row>
    <row r="90">
      <c r="K90" s="2"/>
    </row>
    <row r="91">
      <c r="K91" s="2"/>
    </row>
    <row r="92">
      <c r="K92" s="2"/>
    </row>
    <row r="93">
      <c r="K93" s="2"/>
    </row>
    <row r="94">
      <c r="K94" s="2"/>
    </row>
    <row r="95">
      <c r="K95" s="2"/>
    </row>
    <row r="96">
      <c r="K96" s="2"/>
    </row>
    <row r="97">
      <c r="K97" s="2"/>
    </row>
    <row r="98">
      <c r="K98" s="2"/>
    </row>
    <row r="99">
      <c r="K99" s="2"/>
    </row>
    <row r="100">
      <c r="K100" s="2"/>
    </row>
    <row r="101">
      <c r="K101" s="2"/>
    </row>
    <row r="102">
      <c r="K102" s="2"/>
    </row>
    <row r="103">
      <c r="K103" s="2"/>
    </row>
    <row r="104">
      <c r="K104" s="2"/>
    </row>
    <row r="105">
      <c r="K105" s="2"/>
    </row>
    <row r="106">
      <c r="K106" s="2"/>
    </row>
    <row r="107">
      <c r="K107" s="2"/>
    </row>
    <row r="108">
      <c r="K108" s="2"/>
    </row>
    <row r="109">
      <c r="K109" s="2"/>
    </row>
    <row r="110">
      <c r="K110" s="2"/>
    </row>
    <row r="111">
      <c r="K111" s="2"/>
    </row>
    <row r="112">
      <c r="K112" s="2"/>
    </row>
    <row r="113">
      <c r="K113" s="2"/>
    </row>
    <row r="114">
      <c r="K114" s="2"/>
    </row>
    <row r="115">
      <c r="K115" s="2"/>
    </row>
    <row r="116">
      <c r="K116" s="2"/>
    </row>
    <row r="117">
      <c r="K117" s="2"/>
    </row>
    <row r="118">
      <c r="K118" s="2"/>
    </row>
    <row r="119">
      <c r="K119" s="2"/>
    </row>
    <row r="120">
      <c r="K120" s="2"/>
    </row>
    <row r="121">
      <c r="K121" s="2"/>
    </row>
    <row r="122">
      <c r="K122" s="2"/>
    </row>
    <row r="123">
      <c r="K123" s="2"/>
    </row>
    <row r="124">
      <c r="K124" s="2"/>
    </row>
    <row r="125">
      <c r="K125" s="2"/>
    </row>
    <row r="126">
      <c r="K126" s="2"/>
    </row>
    <row r="127">
      <c r="K127" s="2"/>
    </row>
    <row r="128">
      <c r="K128" s="2"/>
    </row>
    <row r="129">
      <c r="K129" s="2"/>
    </row>
    <row r="130">
      <c r="K130" s="2"/>
    </row>
    <row r="131">
      <c r="K131" s="2"/>
    </row>
    <row r="132">
      <c r="K132" s="2"/>
    </row>
    <row r="133">
      <c r="K133" s="2"/>
    </row>
    <row r="134">
      <c r="K134" s="2"/>
    </row>
    <row r="135">
      <c r="K135" s="2"/>
    </row>
    <row r="136">
      <c r="K136" s="2"/>
    </row>
    <row r="137">
      <c r="K137" s="2"/>
    </row>
    <row r="138">
      <c r="K138" s="2"/>
    </row>
    <row r="139">
      <c r="K139" s="2"/>
    </row>
    <row r="140">
      <c r="K140" s="2"/>
    </row>
    <row r="141">
      <c r="K141" s="2"/>
    </row>
    <row r="142">
      <c r="K142" s="2"/>
    </row>
    <row r="143">
      <c r="K143" s="2"/>
    </row>
    <row r="144">
      <c r="K144" s="2"/>
    </row>
    <row r="145">
      <c r="K145" s="2"/>
    </row>
    <row r="146">
      <c r="K146" s="2"/>
    </row>
    <row r="147">
      <c r="K147" s="2"/>
    </row>
    <row r="148">
      <c r="K148" s="2"/>
    </row>
    <row r="149">
      <c r="K149" s="2"/>
    </row>
    <row r="150">
      <c r="K150" s="2"/>
    </row>
    <row r="151">
      <c r="K151" s="2"/>
    </row>
    <row r="152">
      <c r="K152" s="2"/>
    </row>
    <row r="153">
      <c r="K153" s="2"/>
    </row>
    <row r="154">
      <c r="K154" s="2"/>
    </row>
    <row r="155">
      <c r="K155" s="2"/>
    </row>
    <row r="156">
      <c r="K156" s="2"/>
    </row>
    <row r="157">
      <c r="K157" s="2"/>
    </row>
    <row r="158">
      <c r="K158" s="2"/>
    </row>
    <row r="159">
      <c r="K159" s="2"/>
    </row>
    <row r="160">
      <c r="K160" s="2"/>
    </row>
    <row r="161">
      <c r="K161" s="2"/>
    </row>
    <row r="162">
      <c r="K162" s="2"/>
    </row>
    <row r="163">
      <c r="K163" s="2"/>
    </row>
    <row r="164">
      <c r="K164" s="2"/>
    </row>
    <row r="165">
      <c r="K165" s="2"/>
    </row>
    <row r="166">
      <c r="K166" s="2"/>
    </row>
    <row r="167">
      <c r="K167" s="2"/>
    </row>
    <row r="168">
      <c r="K168" s="2"/>
    </row>
    <row r="169">
      <c r="K169" s="2"/>
    </row>
    <row r="170">
      <c r="K170" s="2"/>
    </row>
    <row r="171">
      <c r="K171" s="2"/>
    </row>
    <row r="172">
      <c r="K172" s="2"/>
    </row>
    <row r="173">
      <c r="K173" s="2"/>
    </row>
    <row r="174">
      <c r="K174" s="2"/>
    </row>
    <row r="175">
      <c r="K175" s="2"/>
    </row>
    <row r="176">
      <c r="K176" s="2"/>
    </row>
    <row r="177">
      <c r="K177" s="2"/>
    </row>
    <row r="178">
      <c r="K178" s="2"/>
    </row>
    <row r="179">
      <c r="K179" s="2"/>
    </row>
    <row r="180">
      <c r="K180" s="2"/>
    </row>
    <row r="181">
      <c r="K181" s="2"/>
    </row>
    <row r="182">
      <c r="K182" s="2"/>
    </row>
    <row r="183">
      <c r="K183" s="2"/>
    </row>
    <row r="184">
      <c r="K184" s="2"/>
    </row>
    <row r="185">
      <c r="K185" s="2"/>
    </row>
    <row r="186" ht="15.0" customHeight="1">
      <c r="K186" s="2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</row>
    <row r="188">
      <c r="K188" s="2"/>
    </row>
    <row r="189">
      <c r="K189" s="2"/>
    </row>
    <row r="190">
      <c r="K190" s="2"/>
    </row>
    <row r="191">
      <c r="K191" s="2"/>
    </row>
    <row r="192">
      <c r="K192" s="2"/>
    </row>
    <row r="193">
      <c r="K193" s="2"/>
    </row>
    <row r="194">
      <c r="K194" s="2"/>
    </row>
    <row r="195">
      <c r="K195" s="2"/>
    </row>
    <row r="196">
      <c r="K196" s="2"/>
    </row>
    <row r="197">
      <c r="K197" s="2"/>
    </row>
    <row r="198">
      <c r="K198" s="2"/>
    </row>
    <row r="199">
      <c r="K199" s="2"/>
    </row>
    <row r="200">
      <c r="K200" s="2"/>
    </row>
    <row r="201">
      <c r="K201" s="2"/>
    </row>
    <row r="202">
      <c r="K202" s="2"/>
    </row>
    <row r="203">
      <c r="K203" s="2"/>
    </row>
    <row r="204">
      <c r="K204" s="2"/>
    </row>
    <row r="205">
      <c r="K205" s="2"/>
    </row>
    <row r="206">
      <c r="K206" s="2"/>
    </row>
    <row r="207">
      <c r="K207" s="2"/>
    </row>
    <row r="208">
      <c r="K208" s="2"/>
    </row>
    <row r="209">
      <c r="K209" s="2"/>
    </row>
    <row r="210">
      <c r="K210" s="2"/>
    </row>
    <row r="211">
      <c r="K211" s="2"/>
    </row>
    <row r="212">
      <c r="K212" s="2"/>
    </row>
    <row r="213">
      <c r="K213" s="2"/>
    </row>
    <row r="214">
      <c r="K214" s="2"/>
    </row>
    <row r="215">
      <c r="K215" s="2"/>
    </row>
    <row r="216">
      <c r="K216" s="2"/>
    </row>
    <row r="217">
      <c r="K217" s="2"/>
    </row>
    <row r="218">
      <c r="K218" s="2"/>
    </row>
    <row r="219">
      <c r="K219" s="2"/>
    </row>
    <row r="220">
      <c r="K220" s="2"/>
    </row>
    <row r="221">
      <c r="K221" s="2"/>
    </row>
    <row r="222">
      <c r="K222" s="2"/>
    </row>
    <row r="223">
      <c r="K223" s="2"/>
    </row>
    <row r="224">
      <c r="K224" s="2"/>
    </row>
    <row r="225">
      <c r="K225" s="2"/>
    </row>
    <row r="226">
      <c r="K226" s="2"/>
    </row>
    <row r="227">
      <c r="K227" s="2"/>
    </row>
    <row r="228">
      <c r="K228" s="2"/>
    </row>
    <row r="229">
      <c r="K229" s="2"/>
    </row>
    <row r="230">
      <c r="K230" s="2"/>
    </row>
    <row r="231">
      <c r="K231" s="2"/>
    </row>
    <row r="232">
      <c r="K232" s="2"/>
    </row>
    <row r="233">
      <c r="K233" s="2"/>
    </row>
    <row r="234">
      <c r="K234" s="2"/>
    </row>
    <row r="235">
      <c r="K235" s="2"/>
    </row>
    <row r="236">
      <c r="K236" s="2"/>
    </row>
    <row r="237">
      <c r="K237" s="2"/>
    </row>
    <row r="238">
      <c r="K238" s="2"/>
    </row>
    <row r="239">
      <c r="K239" s="2"/>
    </row>
    <row r="240">
      <c r="K240" s="2"/>
    </row>
    <row r="241">
      <c r="K241" s="2"/>
    </row>
    <row r="242">
      <c r="K242" s="2"/>
    </row>
    <row r="243">
      <c r="K243" s="2"/>
    </row>
    <row r="244">
      <c r="K244" s="2"/>
    </row>
    <row r="245">
      <c r="K245" s="2"/>
    </row>
    <row r="246">
      <c r="K246" s="2"/>
    </row>
    <row r="247">
      <c r="K247" s="2"/>
    </row>
    <row r="248">
      <c r="K248" s="2"/>
    </row>
    <row r="249">
      <c r="K249" s="2"/>
    </row>
    <row r="250">
      <c r="K250" s="2"/>
    </row>
    <row r="251">
      <c r="K251" s="2"/>
    </row>
    <row r="252">
      <c r="K252" s="2"/>
    </row>
    <row r="253">
      <c r="K253" s="2"/>
    </row>
    <row r="254">
      <c r="K254" s="2"/>
    </row>
    <row r="255">
      <c r="K255" s="2"/>
    </row>
    <row r="256">
      <c r="K256" s="2"/>
    </row>
    <row r="257">
      <c r="K257" s="2"/>
    </row>
    <row r="258">
      <c r="K258" s="2"/>
    </row>
    <row r="259">
      <c r="K259" s="2"/>
    </row>
    <row r="260">
      <c r="K260" s="2"/>
    </row>
    <row r="261">
      <c r="K261" s="2"/>
    </row>
    <row r="262">
      <c r="K262" s="2"/>
    </row>
    <row r="263">
      <c r="K263" s="2"/>
    </row>
    <row r="264">
      <c r="K264" s="2"/>
    </row>
    <row r="265">
      <c r="K265" s="2"/>
    </row>
    <row r="266">
      <c r="K266" s="2"/>
    </row>
    <row r="267">
      <c r="K267" s="2"/>
    </row>
    <row r="268">
      <c r="K268" s="2"/>
    </row>
    <row r="269">
      <c r="K269" s="2"/>
    </row>
    <row r="270">
      <c r="K270" s="2"/>
    </row>
    <row r="271">
      <c r="K271" s="2"/>
    </row>
    <row r="272">
      <c r="K272" s="2"/>
    </row>
    <row r="273">
      <c r="K273" s="2"/>
    </row>
    <row r="274">
      <c r="K274" s="2"/>
    </row>
    <row r="275">
      <c r="K275" s="2"/>
    </row>
    <row r="276">
      <c r="K276" s="2"/>
    </row>
    <row r="277">
      <c r="K277" s="2"/>
    </row>
    <row r="278">
      <c r="K278" s="2"/>
    </row>
    <row r="279">
      <c r="K279" s="2"/>
    </row>
    <row r="280">
      <c r="K280" s="2"/>
    </row>
    <row r="281">
      <c r="K281" s="2"/>
    </row>
    <row r="282">
      <c r="K282" s="2"/>
    </row>
    <row r="283">
      <c r="K283" s="2"/>
    </row>
    <row r="284">
      <c r="K284" s="2"/>
    </row>
    <row r="285">
      <c r="K285" s="2"/>
    </row>
    <row r="286">
      <c r="K286" s="2"/>
    </row>
    <row r="287">
      <c r="K287" s="2"/>
    </row>
    <row r="288">
      <c r="K288" s="2"/>
    </row>
    <row r="289">
      <c r="K289" s="2"/>
    </row>
    <row r="290">
      <c r="K290" s="2"/>
    </row>
    <row r="291">
      <c r="K291" s="2"/>
    </row>
    <row r="292">
      <c r="K292" s="2"/>
    </row>
    <row r="293">
      <c r="K293" s="2"/>
    </row>
    <row r="294">
      <c r="K294" s="2"/>
    </row>
    <row r="295">
      <c r="K295" s="2"/>
    </row>
    <row r="296">
      <c r="K296" s="2"/>
    </row>
    <row r="297">
      <c r="K297" s="2"/>
    </row>
    <row r="298">
      <c r="K298" s="2"/>
    </row>
    <row r="299">
      <c r="K299" s="2"/>
    </row>
    <row r="300">
      <c r="K300" s="2"/>
    </row>
    <row r="301">
      <c r="K301" s="2"/>
    </row>
    <row r="302">
      <c r="K302" s="2"/>
    </row>
    <row r="303">
      <c r="K303" s="2"/>
    </row>
    <row r="304">
      <c r="K304" s="2"/>
    </row>
    <row r="305">
      <c r="K305" s="2"/>
    </row>
    <row r="306">
      <c r="K306" s="2"/>
    </row>
    <row r="307">
      <c r="K307" s="2"/>
    </row>
    <row r="308">
      <c r="K308" s="2"/>
    </row>
    <row r="309">
      <c r="K309" s="2"/>
    </row>
    <row r="310">
      <c r="K310" s="2"/>
    </row>
    <row r="311">
      <c r="K311" s="2"/>
    </row>
    <row r="312">
      <c r="K312" s="2"/>
    </row>
    <row r="313">
      <c r="K313" s="2"/>
    </row>
    <row r="314">
      <c r="K314" s="2"/>
    </row>
    <row r="315">
      <c r="K315" s="2"/>
    </row>
    <row r="316">
      <c r="K316" s="2"/>
    </row>
    <row r="317">
      <c r="K317" s="2"/>
    </row>
    <row r="318">
      <c r="K318" s="2"/>
    </row>
    <row r="319">
      <c r="K319" s="2"/>
    </row>
    <row r="320">
      <c r="K320" s="2"/>
    </row>
    <row r="321">
      <c r="K321" s="2"/>
    </row>
    <row r="322">
      <c r="K322" s="2"/>
    </row>
    <row r="323">
      <c r="K323" s="2"/>
    </row>
    <row r="324">
      <c r="K324" s="2"/>
    </row>
    <row r="325">
      <c r="K325" s="2"/>
    </row>
    <row r="326">
      <c r="K326" s="2"/>
    </row>
    <row r="327">
      <c r="K327" s="2"/>
    </row>
    <row r="328">
      <c r="K328" s="2"/>
    </row>
    <row r="329">
      <c r="K329" s="2"/>
    </row>
    <row r="330">
      <c r="K330" s="2"/>
    </row>
    <row r="331">
      <c r="K331" s="2"/>
    </row>
    <row r="332">
      <c r="K332" s="2"/>
    </row>
    <row r="333">
      <c r="K333" s="2"/>
    </row>
    <row r="334">
      <c r="K334" s="2"/>
    </row>
    <row r="335">
      <c r="K335" s="2"/>
    </row>
    <row r="336">
      <c r="K336" s="2"/>
    </row>
    <row r="337">
      <c r="K337" s="2"/>
    </row>
    <row r="338">
      <c r="K338" s="2"/>
    </row>
    <row r="339">
      <c r="K339" s="2"/>
    </row>
    <row r="340">
      <c r="K340" s="2"/>
    </row>
    <row r="341">
      <c r="K341" s="2"/>
    </row>
    <row r="342">
      <c r="K342" s="2"/>
    </row>
    <row r="343">
      <c r="K343" s="2"/>
    </row>
    <row r="344">
      <c r="K344" s="2"/>
    </row>
    <row r="345">
      <c r="K345" s="2"/>
    </row>
    <row r="346">
      <c r="K346" s="2"/>
    </row>
    <row r="347">
      <c r="K347" s="2"/>
    </row>
    <row r="348">
      <c r="K348" s="2"/>
    </row>
    <row r="349">
      <c r="K349" s="2"/>
    </row>
    <row r="350">
      <c r="K350" s="2"/>
    </row>
    <row r="351">
      <c r="K351" s="2"/>
    </row>
    <row r="352">
      <c r="K352" s="2"/>
    </row>
    <row r="353">
      <c r="K353" s="2"/>
    </row>
    <row r="354">
      <c r="K354" s="2"/>
    </row>
    <row r="355">
      <c r="K355" s="2"/>
    </row>
    <row r="356">
      <c r="K356" s="2"/>
    </row>
    <row r="357">
      <c r="K357" s="2"/>
    </row>
    <row r="358">
      <c r="K358" s="2"/>
    </row>
    <row r="359">
      <c r="K359" s="2"/>
    </row>
    <row r="360">
      <c r="K360" s="2"/>
    </row>
    <row r="361">
      <c r="K361" s="2"/>
    </row>
    <row r="362">
      <c r="K362" s="2"/>
    </row>
    <row r="363">
      <c r="K363" s="2"/>
    </row>
    <row r="364">
      <c r="K364" s="2"/>
    </row>
    <row r="365">
      <c r="K365" s="2"/>
    </row>
    <row r="366" ht="10.5" customHeight="1">
      <c r="K366" s="2"/>
    </row>
    <row r="367" ht="10.5" customHeight="1">
      <c r="K367" s="2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</row>
    <row r="369">
      <c r="K369" s="2"/>
    </row>
    <row r="370">
      <c r="K370" s="2"/>
    </row>
    <row r="371">
      <c r="K371" s="2"/>
    </row>
    <row r="372">
      <c r="K372" s="2"/>
    </row>
    <row r="373">
      <c r="K373" s="2"/>
    </row>
    <row r="374">
      <c r="K374" s="2"/>
    </row>
    <row r="375">
      <c r="K375" s="2"/>
    </row>
    <row r="376">
      <c r="K376" s="2"/>
    </row>
    <row r="377">
      <c r="K377" s="2"/>
    </row>
    <row r="378">
      <c r="K378" s="2"/>
    </row>
    <row r="379">
      <c r="K379" s="2"/>
    </row>
    <row r="380">
      <c r="K380" s="2"/>
    </row>
    <row r="381">
      <c r="K381" s="2"/>
    </row>
    <row r="382">
      <c r="K382" s="2"/>
    </row>
    <row r="383">
      <c r="K383" s="2"/>
    </row>
    <row r="384">
      <c r="K384" s="2"/>
    </row>
    <row r="385">
      <c r="K385" s="2"/>
    </row>
    <row r="386">
      <c r="K386" s="2"/>
    </row>
    <row r="387">
      <c r="K387" s="2"/>
    </row>
    <row r="389">
      <c r="K389" s="2"/>
    </row>
    <row r="390">
      <c r="K390" s="2"/>
    </row>
    <row r="391">
      <c r="K391" s="2"/>
    </row>
    <row r="392">
      <c r="K392" s="2"/>
    </row>
    <row r="393">
      <c r="K393" s="2"/>
    </row>
    <row r="394">
      <c r="K394" s="2"/>
    </row>
    <row r="395">
      <c r="K395" s="2"/>
    </row>
    <row r="396">
      <c r="K396" s="2"/>
    </row>
    <row r="397">
      <c r="K397" s="2"/>
    </row>
    <row r="398">
      <c r="K398" s="2"/>
    </row>
    <row r="399">
      <c r="K399" s="2"/>
    </row>
    <row r="400">
      <c r="K400" s="2"/>
    </row>
    <row r="401">
      <c r="K401" s="2"/>
    </row>
    <row r="402">
      <c r="K402" s="2"/>
    </row>
    <row r="403">
      <c r="K403" s="2"/>
    </row>
    <row r="404">
      <c r="K404" s="2"/>
    </row>
    <row r="405">
      <c r="K405" s="2"/>
    </row>
    <row r="406">
      <c r="K406" s="2"/>
    </row>
    <row r="407">
      <c r="K407" s="2"/>
    </row>
    <row r="408">
      <c r="K408" s="2"/>
    </row>
    <row r="409">
      <c r="K409" s="2"/>
    </row>
    <row r="410">
      <c r="K410" s="2"/>
    </row>
    <row r="412">
      <c r="K412" s="2"/>
    </row>
    <row r="413">
      <c r="K413" s="2"/>
    </row>
    <row r="414">
      <c r="K414" s="2"/>
    </row>
    <row r="415">
      <c r="K415" s="2"/>
    </row>
    <row r="416">
      <c r="K416" s="2"/>
    </row>
    <row r="417">
      <c r="K417" s="2"/>
    </row>
    <row r="418">
      <c r="K418" s="2"/>
    </row>
    <row r="419">
      <c r="K419" s="2"/>
    </row>
    <row r="420">
      <c r="K420" s="2"/>
    </row>
    <row r="421">
      <c r="K421" s="2"/>
    </row>
    <row r="422">
      <c r="K422" s="2"/>
    </row>
    <row r="423">
      <c r="K423" s="2"/>
    </row>
    <row r="424">
      <c r="K424" s="2"/>
    </row>
    <row r="425">
      <c r="K425" s="2"/>
    </row>
    <row r="426">
      <c r="K426" s="2"/>
    </row>
    <row r="427">
      <c r="K427" s="2"/>
    </row>
    <row r="428">
      <c r="K428" s="2"/>
    </row>
    <row r="429">
      <c r="K429" s="2"/>
    </row>
    <row r="430">
      <c r="K430" s="2"/>
    </row>
    <row r="431">
      <c r="K431" s="2"/>
    </row>
    <row r="432">
      <c r="K432" s="2"/>
    </row>
    <row r="433">
      <c r="K433" s="2"/>
    </row>
    <row r="434">
      <c r="K434" s="2"/>
    </row>
    <row r="435">
      <c r="K435" s="2"/>
    </row>
    <row r="436" ht="1.5" customHeight="1">
      <c r="K436" s="2"/>
    </row>
    <row r="437" ht="1.5" customHeight="1">
      <c r="K437" s="2"/>
    </row>
    <row r="438" ht="1.5" customHeight="1">
      <c r="K438" s="2"/>
    </row>
    <row r="439" ht="18.0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</row>
    <row r="440">
      <c r="K440" s="2"/>
    </row>
    <row r="441">
      <c r="K441" s="2"/>
    </row>
    <row r="442">
      <c r="K442" s="2"/>
    </row>
    <row r="443">
      <c r="K443" s="2"/>
    </row>
    <row r="444">
      <c r="K444" s="2"/>
    </row>
    <row r="445">
      <c r="K445" s="2"/>
    </row>
    <row r="446">
      <c r="K446" s="2"/>
    </row>
    <row r="447">
      <c r="K447" s="2"/>
    </row>
    <row r="448">
      <c r="K448" s="2"/>
    </row>
    <row r="449">
      <c r="K449" s="2"/>
    </row>
    <row r="450">
      <c r="K450" s="2"/>
    </row>
    <row r="451">
      <c r="K451" s="2"/>
    </row>
    <row r="452">
      <c r="K452" s="2"/>
    </row>
    <row r="453">
      <c r="K453" s="2"/>
    </row>
    <row r="454">
      <c r="K454" s="2"/>
    </row>
    <row r="455">
      <c r="K455" s="2"/>
    </row>
    <row r="456">
      <c r="K456" s="2"/>
    </row>
    <row r="457">
      <c r="K457" s="2"/>
    </row>
    <row r="458">
      <c r="K458" s="2"/>
    </row>
    <row r="459">
      <c r="K459" s="2"/>
    </row>
    <row r="460">
      <c r="K460" s="2"/>
    </row>
    <row r="461">
      <c r="K461" s="2"/>
    </row>
    <row r="462">
      <c r="K462" s="2"/>
    </row>
    <row r="463">
      <c r="K463" s="2"/>
    </row>
    <row r="464">
      <c r="K464" s="2"/>
    </row>
    <row r="465">
      <c r="K465" s="2"/>
    </row>
    <row r="466">
      <c r="K466" s="2"/>
    </row>
    <row r="467">
      <c r="K467" s="2"/>
    </row>
    <row r="468">
      <c r="K468" s="2"/>
    </row>
    <row r="469">
      <c r="K469" s="2"/>
    </row>
    <row r="470">
      <c r="K470" s="2"/>
    </row>
    <row r="471">
      <c r="K471" s="2"/>
    </row>
    <row r="472">
      <c r="K472" s="2"/>
    </row>
    <row r="473">
      <c r="K473" s="2"/>
    </row>
    <row r="474">
      <c r="K474" s="2"/>
    </row>
    <row r="475">
      <c r="K475" s="2"/>
    </row>
    <row r="476">
      <c r="K476" s="2"/>
    </row>
    <row r="477">
      <c r="K477" s="2"/>
    </row>
    <row r="478">
      <c r="K478" s="2"/>
    </row>
    <row r="479">
      <c r="K479" s="2"/>
    </row>
    <row r="480">
      <c r="K480" s="2"/>
    </row>
    <row r="481">
      <c r="K481" s="2"/>
    </row>
    <row r="482">
      <c r="K482" s="2"/>
    </row>
    <row r="483">
      <c r="K483" s="2"/>
    </row>
    <row r="484">
      <c r="K484" s="2"/>
    </row>
    <row r="485">
      <c r="K485" s="2"/>
    </row>
    <row r="486">
      <c r="K486" s="2"/>
    </row>
    <row r="487">
      <c r="K487" s="2"/>
    </row>
    <row r="488">
      <c r="K488" s="2"/>
    </row>
    <row r="489">
      <c r="K489" s="2"/>
    </row>
    <row r="490">
      <c r="K490" s="2"/>
    </row>
    <row r="491">
      <c r="K491" s="2"/>
    </row>
    <row r="492">
      <c r="K492" s="2"/>
    </row>
    <row r="493">
      <c r="K493" s="2"/>
    </row>
    <row r="494">
      <c r="K494" s="2"/>
    </row>
    <row r="495">
      <c r="K495" s="2"/>
    </row>
    <row r="496">
      <c r="K496" s="2"/>
    </row>
    <row r="497">
      <c r="K497" s="2"/>
    </row>
    <row r="498">
      <c r="K498" s="2"/>
    </row>
    <row r="499">
      <c r="K499" s="2"/>
    </row>
    <row r="500">
      <c r="K500" s="2"/>
    </row>
    <row r="501">
      <c r="K501" s="2"/>
    </row>
    <row r="502">
      <c r="K502" s="2"/>
    </row>
    <row r="503">
      <c r="K503" s="2"/>
    </row>
    <row r="504">
      <c r="K504" s="2"/>
    </row>
    <row r="505">
      <c r="K505" s="2"/>
    </row>
    <row r="506">
      <c r="K506" s="2"/>
    </row>
    <row r="507">
      <c r="K507" s="2"/>
    </row>
    <row r="508">
      <c r="K508" s="2"/>
    </row>
    <row r="509">
      <c r="K509" s="2"/>
    </row>
    <row r="510">
      <c r="K510" s="2"/>
    </row>
    <row r="511">
      <c r="K511" s="2"/>
    </row>
    <row r="512">
      <c r="K512" s="2"/>
    </row>
    <row r="513">
      <c r="K513" s="2"/>
    </row>
    <row r="514">
      <c r="K514" s="2"/>
    </row>
    <row r="515">
      <c r="K515" s="2"/>
    </row>
    <row r="516">
      <c r="K516" s="2"/>
    </row>
    <row r="517">
      <c r="K517" s="2"/>
    </row>
    <row r="518">
      <c r="K518" s="2"/>
    </row>
    <row r="519">
      <c r="K519" s="2"/>
    </row>
    <row r="520">
      <c r="K520" s="2"/>
    </row>
    <row r="521">
      <c r="K521" s="2"/>
    </row>
    <row r="522">
      <c r="K522" s="2"/>
    </row>
    <row r="523">
      <c r="K523" s="2"/>
    </row>
    <row r="524">
      <c r="K524" s="2"/>
    </row>
    <row r="525">
      <c r="K525" s="2"/>
    </row>
    <row r="526">
      <c r="K526" s="2"/>
    </row>
    <row r="527">
      <c r="K527" s="2"/>
    </row>
    <row r="528">
      <c r="K528" s="2"/>
    </row>
    <row r="529">
      <c r="K529" s="2"/>
    </row>
    <row r="530">
      <c r="K530" s="2"/>
    </row>
    <row r="531">
      <c r="K531" s="2"/>
    </row>
    <row r="532">
      <c r="K532" s="2"/>
    </row>
    <row r="533">
      <c r="K533" s="2"/>
    </row>
    <row r="534">
      <c r="K534" s="2"/>
    </row>
    <row r="535">
      <c r="K535" s="2"/>
    </row>
    <row r="536">
      <c r="K536" s="2"/>
    </row>
    <row r="537">
      <c r="K537" s="2"/>
    </row>
    <row r="538">
      <c r="K538" s="2"/>
    </row>
    <row r="539">
      <c r="K539" s="2"/>
    </row>
    <row r="540">
      <c r="K540" s="2"/>
    </row>
    <row r="541">
      <c r="K541" s="2"/>
    </row>
    <row r="542">
      <c r="K542" s="2"/>
    </row>
    <row r="543">
      <c r="K543" s="2"/>
    </row>
    <row r="544">
      <c r="K544" s="2"/>
    </row>
    <row r="545">
      <c r="K545" s="2"/>
    </row>
    <row r="546">
      <c r="K546" s="2"/>
    </row>
    <row r="547">
      <c r="K547" s="2"/>
    </row>
    <row r="548">
      <c r="K548" s="2"/>
    </row>
    <row r="549">
      <c r="K549" s="2"/>
    </row>
    <row r="550">
      <c r="K550" s="2"/>
    </row>
    <row r="551">
      <c r="K551" s="2"/>
    </row>
    <row r="552">
      <c r="K552" s="2"/>
    </row>
    <row r="553">
      <c r="K553" s="2"/>
    </row>
    <row r="554">
      <c r="K554" s="2"/>
    </row>
    <row r="555">
      <c r="K555" s="2"/>
    </row>
    <row r="556">
      <c r="K556" s="2"/>
    </row>
    <row r="557">
      <c r="K557" s="2"/>
    </row>
    <row r="558">
      <c r="K558" s="2"/>
    </row>
    <row r="559">
      <c r="K559" s="2"/>
    </row>
    <row r="560">
      <c r="K560" s="2"/>
    </row>
    <row r="561">
      <c r="K561" s="2"/>
    </row>
    <row r="562">
      <c r="K562" s="2"/>
    </row>
    <row r="563">
      <c r="K563" s="2"/>
    </row>
    <row r="564">
      <c r="K564" s="2"/>
    </row>
    <row r="565">
      <c r="K565" s="2"/>
    </row>
    <row r="566">
      <c r="K566" s="2"/>
    </row>
    <row r="567">
      <c r="K567" s="2"/>
    </row>
    <row r="568">
      <c r="K568" s="2"/>
    </row>
    <row r="569">
      <c r="K569" s="2"/>
    </row>
    <row r="570">
      <c r="K570" s="2"/>
    </row>
    <row r="571">
      <c r="K571" s="2"/>
    </row>
    <row r="572">
      <c r="K572" s="2"/>
    </row>
    <row r="573">
      <c r="K573" s="2"/>
    </row>
    <row r="574">
      <c r="K574" s="2"/>
    </row>
    <row r="575">
      <c r="K575" s="2"/>
    </row>
    <row r="576">
      <c r="K576" s="2"/>
    </row>
    <row r="577">
      <c r="K577" s="2"/>
    </row>
    <row r="578" ht="21.75" customHeight="1">
      <c r="K578" s="2"/>
    </row>
    <row r="579" ht="19.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</row>
    <row r="580">
      <c r="K580" s="2"/>
    </row>
    <row r="581">
      <c r="K581" s="2"/>
    </row>
    <row r="582">
      <c r="K582" s="2"/>
    </row>
    <row r="583">
      <c r="K583" s="2"/>
    </row>
    <row r="584">
      <c r="K584" s="2"/>
    </row>
    <row r="585">
      <c r="K585" s="2"/>
    </row>
    <row r="586">
      <c r="K586" s="2"/>
    </row>
    <row r="587">
      <c r="K587" s="2"/>
    </row>
    <row r="588">
      <c r="K588" s="2"/>
    </row>
    <row r="589">
      <c r="K589" s="2"/>
    </row>
    <row r="590">
      <c r="K590" s="2"/>
    </row>
    <row r="591">
      <c r="K591" s="2"/>
    </row>
    <row r="592">
      <c r="K592" s="2"/>
    </row>
    <row r="593">
      <c r="K593" s="2"/>
    </row>
    <row r="594">
      <c r="K594" s="2"/>
    </row>
    <row r="595">
      <c r="K595" s="2"/>
    </row>
    <row r="596">
      <c r="K596" s="2"/>
    </row>
    <row r="597">
      <c r="K597" s="2"/>
    </row>
    <row r="598">
      <c r="K598" s="2"/>
    </row>
    <row r="599">
      <c r="K599" s="2"/>
    </row>
    <row r="600">
      <c r="K600" s="2"/>
    </row>
    <row r="601">
      <c r="K601" s="2"/>
    </row>
    <row r="602">
      <c r="K602" s="2"/>
    </row>
    <row r="603">
      <c r="K603" s="2"/>
    </row>
    <row r="604">
      <c r="K604" s="2"/>
    </row>
    <row r="605">
      <c r="K605" s="2"/>
    </row>
    <row r="606">
      <c r="K606" s="2"/>
    </row>
    <row r="607">
      <c r="K607" s="2"/>
    </row>
    <row r="608">
      <c r="K608" s="2"/>
    </row>
    <row r="609">
      <c r="K609" s="2"/>
    </row>
    <row r="610">
      <c r="K610" s="2"/>
    </row>
    <row r="611">
      <c r="K611" s="2"/>
    </row>
    <row r="612">
      <c r="K612" s="2"/>
    </row>
    <row r="613">
      <c r="K613" s="2"/>
    </row>
    <row r="614">
      <c r="K614" s="2"/>
    </row>
    <row r="615">
      <c r="K615" s="2"/>
    </row>
    <row r="616">
      <c r="K616" s="2"/>
    </row>
    <row r="617">
      <c r="K617" s="2"/>
    </row>
    <row r="618">
      <c r="K618" s="2"/>
    </row>
    <row r="619">
      <c r="K619" s="2"/>
    </row>
    <row r="620">
      <c r="K620" s="2"/>
    </row>
    <row r="621">
      <c r="K621" s="2"/>
    </row>
    <row r="622">
      <c r="K622" s="2"/>
    </row>
    <row r="623">
      <c r="K623" s="2"/>
    </row>
    <row r="624">
      <c r="K624" s="2"/>
    </row>
    <row r="625">
      <c r="K625" s="2"/>
    </row>
    <row r="626">
      <c r="K626" s="2"/>
    </row>
    <row r="627">
      <c r="K627" s="2"/>
    </row>
    <row r="628">
      <c r="K628" s="2"/>
    </row>
    <row r="629">
      <c r="K629" s="2"/>
    </row>
    <row r="630">
      <c r="K630" s="2"/>
    </row>
    <row r="631">
      <c r="K631" s="2"/>
    </row>
    <row r="632">
      <c r="K632" s="2"/>
    </row>
    <row r="633">
      <c r="K633" s="2"/>
    </row>
    <row r="634">
      <c r="K634" s="2"/>
    </row>
    <row r="635">
      <c r="K635" s="2"/>
    </row>
    <row r="636">
      <c r="K636" s="2"/>
    </row>
    <row r="637">
      <c r="K637" s="2"/>
    </row>
    <row r="638">
      <c r="K638" s="2"/>
    </row>
    <row r="639">
      <c r="K639" s="2"/>
    </row>
    <row r="640">
      <c r="K640" s="2"/>
    </row>
    <row r="641">
      <c r="K641" s="2"/>
    </row>
    <row r="642">
      <c r="K642" s="2"/>
    </row>
    <row r="643">
      <c r="K643" s="2"/>
    </row>
    <row r="644">
      <c r="K644" s="2"/>
    </row>
    <row r="645">
      <c r="K645" s="2"/>
    </row>
    <row r="646">
      <c r="K646" s="2"/>
    </row>
    <row r="647">
      <c r="K647" s="2"/>
    </row>
    <row r="648">
      <c r="K648" s="2"/>
    </row>
    <row r="649">
      <c r="K649" s="2"/>
    </row>
    <row r="650">
      <c r="K650" s="2"/>
    </row>
    <row r="651">
      <c r="K651" s="2"/>
    </row>
    <row r="652">
      <c r="K652" s="2"/>
    </row>
    <row r="653">
      <c r="K653" s="2"/>
    </row>
    <row r="654">
      <c r="K654" s="2"/>
    </row>
    <row r="655">
      <c r="K655" s="2"/>
    </row>
    <row r="656">
      <c r="K656" s="2"/>
    </row>
    <row r="657">
      <c r="K657" s="2"/>
    </row>
    <row r="658">
      <c r="K658" s="2"/>
    </row>
    <row r="659">
      <c r="K659" s="2"/>
    </row>
    <row r="660">
      <c r="K660" s="2"/>
    </row>
    <row r="661">
      <c r="K661" s="2"/>
    </row>
    <row r="662">
      <c r="K662" s="2"/>
    </row>
    <row r="663">
      <c r="K663" s="2"/>
    </row>
    <row r="664">
      <c r="K664" s="2"/>
    </row>
    <row r="665">
      <c r="K665" s="2"/>
    </row>
    <row r="666">
      <c r="K666" s="2"/>
    </row>
    <row r="667">
      <c r="K667" s="2"/>
    </row>
    <row r="668">
      <c r="K668" s="2"/>
    </row>
    <row r="669">
      <c r="K669" s="2"/>
    </row>
    <row r="670">
      <c r="K670" s="2"/>
    </row>
    <row r="671">
      <c r="K671" s="2"/>
    </row>
    <row r="672">
      <c r="K672" s="2"/>
    </row>
    <row r="673">
      <c r="K673" s="2"/>
    </row>
    <row r="674">
      <c r="K674" s="2"/>
    </row>
    <row r="675">
      <c r="K675" s="2"/>
    </row>
    <row r="676">
      <c r="K676" s="2"/>
    </row>
    <row r="677">
      <c r="K677" s="2"/>
    </row>
    <row r="678">
      <c r="K678" s="2"/>
    </row>
    <row r="679">
      <c r="K679" s="2"/>
    </row>
    <row r="680">
      <c r="K680" s="2"/>
    </row>
    <row r="681">
      <c r="K681" s="2"/>
    </row>
    <row r="682">
      <c r="K682" s="2"/>
    </row>
    <row r="683">
      <c r="K683" s="2"/>
    </row>
    <row r="684">
      <c r="K684" s="2"/>
    </row>
    <row r="685">
      <c r="K685" s="2"/>
    </row>
    <row r="686">
      <c r="K686" s="2"/>
    </row>
    <row r="687">
      <c r="K687" s="2"/>
    </row>
    <row r="688">
      <c r="K688" s="2"/>
    </row>
    <row r="689">
      <c r="K689" s="2"/>
    </row>
    <row r="690">
      <c r="K690" s="2"/>
    </row>
    <row r="691">
      <c r="K691" s="2"/>
    </row>
    <row r="692">
      <c r="K692" s="2"/>
    </row>
    <row r="693">
      <c r="K693" s="2"/>
    </row>
    <row r="694">
      <c r="K694" s="2"/>
    </row>
    <row r="695">
      <c r="K695" s="2"/>
    </row>
    <row r="696">
      <c r="K696" s="2"/>
    </row>
    <row r="697">
      <c r="K697" s="2"/>
    </row>
    <row r="698">
      <c r="K698" s="2"/>
    </row>
    <row r="699">
      <c r="K699" s="2"/>
    </row>
    <row r="700">
      <c r="K700" s="2"/>
    </row>
    <row r="701">
      <c r="K701" s="2"/>
    </row>
    <row r="702">
      <c r="K702" s="2"/>
    </row>
    <row r="703">
      <c r="K703" s="2"/>
    </row>
    <row r="704">
      <c r="K704" s="2"/>
    </row>
    <row r="705">
      <c r="K705" s="2"/>
    </row>
    <row r="706">
      <c r="K706" s="2"/>
    </row>
    <row r="707">
      <c r="K707" s="2"/>
    </row>
    <row r="708">
      <c r="K708" s="2"/>
    </row>
    <row r="709">
      <c r="K709" s="2"/>
    </row>
    <row r="710">
      <c r="K710" s="2"/>
    </row>
    <row r="711">
      <c r="K711" s="2"/>
    </row>
    <row r="712">
      <c r="K712" s="2"/>
    </row>
    <row r="713">
      <c r="K713" s="2"/>
    </row>
    <row r="714">
      <c r="K714" s="2"/>
    </row>
    <row r="715">
      <c r="K715" s="2"/>
    </row>
    <row r="716">
      <c r="K716" s="2"/>
    </row>
    <row r="717">
      <c r="K717" s="2"/>
    </row>
    <row r="718">
      <c r="K718" s="2"/>
    </row>
    <row r="719">
      <c r="K719" s="2"/>
    </row>
    <row r="720">
      <c r="K720" s="2"/>
    </row>
    <row r="721">
      <c r="K721" s="2"/>
    </row>
    <row r="722">
      <c r="K722" s="2"/>
    </row>
    <row r="723">
      <c r="K723" s="2"/>
    </row>
    <row r="724">
      <c r="K724" s="2"/>
    </row>
    <row r="725">
      <c r="K725" s="2"/>
    </row>
    <row r="726">
      <c r="K726" s="2"/>
    </row>
    <row r="727">
      <c r="K727" s="2"/>
    </row>
    <row r="728">
      <c r="K728" s="2"/>
    </row>
    <row r="729">
      <c r="K729" s="2"/>
    </row>
    <row r="730">
      <c r="K730" s="2"/>
    </row>
    <row r="731">
      <c r="K731" s="2"/>
    </row>
    <row r="732">
      <c r="K732" s="2"/>
    </row>
    <row r="733">
      <c r="K733" s="2"/>
    </row>
    <row r="734">
      <c r="K734" s="2"/>
    </row>
    <row r="735">
      <c r="K735" s="2"/>
    </row>
    <row r="736">
      <c r="K736" s="2"/>
    </row>
    <row r="737">
      <c r="K737" s="2"/>
    </row>
    <row r="738">
      <c r="K738" s="2"/>
    </row>
    <row r="739">
      <c r="K739" s="2"/>
    </row>
    <row r="740">
      <c r="K740" s="2"/>
    </row>
    <row r="741">
      <c r="K741" s="2"/>
    </row>
    <row r="742">
      <c r="K742" s="2"/>
    </row>
    <row r="743">
      <c r="K743" s="2"/>
    </row>
    <row r="744">
      <c r="K744" s="2"/>
    </row>
    <row r="745">
      <c r="K745" s="2"/>
    </row>
    <row r="746">
      <c r="K746" s="2"/>
    </row>
    <row r="747">
      <c r="K747" s="2"/>
    </row>
    <row r="748">
      <c r="K748" s="2"/>
    </row>
    <row r="749">
      <c r="K749" s="2"/>
    </row>
    <row r="750">
      <c r="K750" s="2"/>
    </row>
    <row r="751">
      <c r="K751" s="2"/>
    </row>
    <row r="752">
      <c r="K752" s="2"/>
    </row>
    <row r="753">
      <c r="K753" s="2"/>
    </row>
    <row r="754">
      <c r="K754" s="2"/>
    </row>
    <row r="755">
      <c r="K755" s="2"/>
    </row>
    <row r="756">
      <c r="K756" s="2"/>
    </row>
    <row r="757">
      <c r="K757" s="2"/>
    </row>
    <row r="758">
      <c r="K758" s="2"/>
    </row>
    <row r="759">
      <c r="K759" s="2"/>
    </row>
    <row r="760">
      <c r="K760" s="2"/>
    </row>
    <row r="761">
      <c r="K761" s="2"/>
    </row>
    <row r="762">
      <c r="K762" s="2"/>
    </row>
    <row r="763">
      <c r="K763" s="2"/>
    </row>
    <row r="764">
      <c r="K764" s="2"/>
    </row>
    <row r="765">
      <c r="K765" s="2"/>
    </row>
    <row r="766">
      <c r="K766" s="2"/>
    </row>
    <row r="767">
      <c r="K767" s="2"/>
    </row>
    <row r="768">
      <c r="K768" s="2"/>
    </row>
    <row r="769">
      <c r="K769" s="2"/>
    </row>
    <row r="770">
      <c r="K770" s="2"/>
    </row>
    <row r="771">
      <c r="K771" s="2"/>
    </row>
    <row r="772">
      <c r="K772" s="2"/>
    </row>
    <row r="773">
      <c r="K773" s="2"/>
    </row>
    <row r="774">
      <c r="K774" s="2"/>
    </row>
    <row r="775">
      <c r="K775" s="2"/>
    </row>
    <row r="776">
      <c r="K776" s="2"/>
    </row>
    <row r="777">
      <c r="K777" s="2"/>
    </row>
    <row r="778">
      <c r="K778" s="2"/>
    </row>
    <row r="779">
      <c r="K779" s="2"/>
    </row>
    <row r="780">
      <c r="K780" s="2"/>
    </row>
    <row r="781">
      <c r="K781" s="2"/>
    </row>
    <row r="782">
      <c r="K782" s="2"/>
    </row>
    <row r="783">
      <c r="K783" s="2"/>
    </row>
    <row r="784">
      <c r="K784" s="2"/>
    </row>
    <row r="785">
      <c r="K785" s="2"/>
    </row>
    <row r="786">
      <c r="K786" s="2"/>
    </row>
    <row r="787">
      <c r="K787" s="2"/>
    </row>
    <row r="788">
      <c r="K788" s="2"/>
    </row>
    <row r="789">
      <c r="K789" s="2"/>
    </row>
    <row r="790">
      <c r="K790" s="2"/>
    </row>
    <row r="791">
      <c r="K791" s="2"/>
    </row>
    <row r="792">
      <c r="K792" s="2"/>
    </row>
    <row r="793">
      <c r="K793" s="2"/>
    </row>
    <row r="794">
      <c r="K794" s="2"/>
    </row>
    <row r="795">
      <c r="K795" s="2"/>
    </row>
    <row r="796">
      <c r="K796" s="2"/>
    </row>
    <row r="797">
      <c r="K797" s="2"/>
    </row>
    <row r="798">
      <c r="K798" s="2"/>
    </row>
    <row r="799">
      <c r="K799" s="2"/>
    </row>
    <row r="800">
      <c r="K800" s="2"/>
    </row>
    <row r="801">
      <c r="K801" s="2"/>
    </row>
    <row r="802">
      <c r="K802" s="2"/>
    </row>
    <row r="803">
      <c r="K803" s="2"/>
    </row>
    <row r="804">
      <c r="K804" s="2"/>
    </row>
    <row r="805">
      <c r="K805" s="2"/>
    </row>
    <row r="806">
      <c r="K806" s="2"/>
    </row>
    <row r="807">
      <c r="K807" s="2"/>
    </row>
    <row r="808">
      <c r="K808" s="2"/>
    </row>
    <row r="809">
      <c r="K809" s="2"/>
    </row>
    <row r="810">
      <c r="K810" s="2"/>
    </row>
    <row r="811">
      <c r="K811" s="2"/>
    </row>
    <row r="812">
      <c r="K812" s="2"/>
    </row>
    <row r="813">
      <c r="K813" s="2"/>
    </row>
    <row r="814">
      <c r="K814" s="2"/>
    </row>
    <row r="815">
      <c r="K815" s="2"/>
    </row>
    <row r="816">
      <c r="K816" s="2"/>
    </row>
    <row r="817">
      <c r="K817" s="2"/>
    </row>
    <row r="818">
      <c r="K818" s="2"/>
    </row>
    <row r="819">
      <c r="K819" s="2"/>
    </row>
    <row r="820">
      <c r="K820" s="2"/>
    </row>
    <row r="821">
      <c r="K821" s="2"/>
    </row>
    <row r="822">
      <c r="K822" s="2"/>
    </row>
    <row r="823">
      <c r="K823" s="2"/>
    </row>
    <row r="824">
      <c r="K824" s="2"/>
    </row>
    <row r="825">
      <c r="K825" s="2"/>
    </row>
    <row r="826">
      <c r="K826" s="2"/>
    </row>
    <row r="827">
      <c r="K827" s="2"/>
    </row>
    <row r="828">
      <c r="K828" s="2"/>
    </row>
    <row r="829">
      <c r="K829" s="2"/>
    </row>
    <row r="830">
      <c r="K830" s="2"/>
    </row>
    <row r="831">
      <c r="K831" s="2"/>
    </row>
    <row r="832">
      <c r="K832" s="2"/>
    </row>
    <row r="833">
      <c r="K833" s="2"/>
    </row>
    <row r="834">
      <c r="K834" s="2"/>
    </row>
    <row r="835">
      <c r="K835" s="2"/>
    </row>
    <row r="836">
      <c r="K836" s="2"/>
    </row>
    <row r="837">
      <c r="K837" s="2"/>
    </row>
    <row r="838">
      <c r="K838" s="2"/>
    </row>
    <row r="839">
      <c r="K839" s="2"/>
    </row>
    <row r="840">
      <c r="K840" s="2"/>
    </row>
    <row r="841">
      <c r="K841" s="2"/>
    </row>
    <row r="842">
      <c r="K842" s="2"/>
    </row>
    <row r="843">
      <c r="K843" s="2"/>
    </row>
    <row r="844">
      <c r="K844" s="2"/>
    </row>
    <row r="845">
      <c r="K845" s="2"/>
    </row>
    <row r="846">
      <c r="K846" s="2"/>
    </row>
    <row r="847">
      <c r="K847" s="2"/>
    </row>
    <row r="848">
      <c r="K848" s="2"/>
    </row>
    <row r="849">
      <c r="K849" s="2"/>
    </row>
    <row r="850">
      <c r="K850" s="2"/>
    </row>
    <row r="851">
      <c r="K851" s="2"/>
    </row>
    <row r="852">
      <c r="K852" s="2"/>
    </row>
    <row r="853">
      <c r="K853" s="2"/>
    </row>
    <row r="854">
      <c r="K854" s="2"/>
    </row>
    <row r="855">
      <c r="K855" s="2"/>
    </row>
    <row r="856">
      <c r="K856" s="2"/>
    </row>
    <row r="857">
      <c r="K857" s="2"/>
    </row>
    <row r="858">
      <c r="K858" s="2"/>
    </row>
    <row r="859">
      <c r="K859" s="2"/>
    </row>
    <row r="860">
      <c r="K860" s="2"/>
    </row>
    <row r="861">
      <c r="K861" s="2"/>
    </row>
    <row r="862">
      <c r="K862" s="2"/>
    </row>
    <row r="863">
      <c r="K863" s="2"/>
    </row>
    <row r="864">
      <c r="K864" s="2"/>
    </row>
    <row r="865">
      <c r="K865" s="2"/>
    </row>
    <row r="866">
      <c r="K866" s="2"/>
    </row>
    <row r="867">
      <c r="K867" s="2"/>
    </row>
    <row r="868">
      <c r="K868" s="2"/>
    </row>
    <row r="869">
      <c r="K869" s="2"/>
    </row>
    <row r="870">
      <c r="K870" s="2"/>
    </row>
    <row r="871">
      <c r="K871" s="2"/>
    </row>
    <row r="872">
      <c r="K872" s="2"/>
    </row>
    <row r="873">
      <c r="K873" s="2"/>
    </row>
    <row r="874">
      <c r="K874" s="2"/>
    </row>
    <row r="875">
      <c r="K875" s="2"/>
    </row>
    <row r="876">
      <c r="K876" s="2"/>
    </row>
    <row r="877">
      <c r="K877" s="2"/>
    </row>
    <row r="878">
      <c r="K878" s="2"/>
    </row>
    <row r="879">
      <c r="K879" s="2"/>
    </row>
    <row r="880">
      <c r="K880" s="2"/>
    </row>
    <row r="881">
      <c r="K881" s="2"/>
    </row>
    <row r="882">
      <c r="K882" s="2"/>
    </row>
    <row r="883">
      <c r="K883" s="2"/>
    </row>
    <row r="884">
      <c r="K884" s="2"/>
    </row>
    <row r="885">
      <c r="K885" s="2"/>
    </row>
    <row r="886">
      <c r="K886" s="2"/>
    </row>
    <row r="887">
      <c r="K887" s="2"/>
    </row>
    <row r="888">
      <c r="K888" s="2"/>
    </row>
    <row r="889">
      <c r="K889" s="2"/>
    </row>
    <row r="890">
      <c r="K890" s="2"/>
    </row>
    <row r="891">
      <c r="K891" s="2"/>
    </row>
    <row r="892">
      <c r="K892" s="2"/>
    </row>
    <row r="893">
      <c r="K893" s="2"/>
    </row>
    <row r="894">
      <c r="K894" s="2"/>
    </row>
    <row r="895">
      <c r="K895" s="2"/>
    </row>
    <row r="896">
      <c r="K896" s="2"/>
    </row>
    <row r="897">
      <c r="K897" s="2"/>
    </row>
    <row r="898">
      <c r="K898" s="2"/>
    </row>
    <row r="899">
      <c r="K899" s="2"/>
    </row>
    <row r="900" ht="13.5" customHeight="1">
      <c r="K900" s="2"/>
    </row>
    <row r="901" ht="19.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</row>
    <row r="902">
      <c r="K902" s="2"/>
    </row>
    <row r="903">
      <c r="K903" s="2"/>
    </row>
    <row r="904">
      <c r="K904" s="2"/>
    </row>
    <row r="905">
      <c r="K905" s="2"/>
    </row>
    <row r="906">
      <c r="K906" s="2"/>
    </row>
    <row r="907">
      <c r="K907" s="2"/>
    </row>
    <row r="908">
      <c r="K908" s="2"/>
    </row>
    <row r="909">
      <c r="K909" s="2"/>
    </row>
    <row r="910">
      <c r="K910" s="2"/>
    </row>
    <row r="911">
      <c r="K911" s="2"/>
    </row>
    <row r="912">
      <c r="K912" s="2"/>
    </row>
    <row r="913">
      <c r="K913" s="2"/>
    </row>
    <row r="914">
      <c r="K914" s="2"/>
    </row>
    <row r="915">
      <c r="K915" s="2"/>
    </row>
    <row r="916">
      <c r="K916" s="2"/>
    </row>
    <row r="917">
      <c r="K917" s="2"/>
    </row>
    <row r="918">
      <c r="K918" s="2"/>
    </row>
    <row r="919">
      <c r="K919" s="2"/>
    </row>
    <row r="920">
      <c r="K920" s="2"/>
    </row>
    <row r="921">
      <c r="K921" s="2"/>
    </row>
    <row r="922">
      <c r="K922" s="2"/>
    </row>
    <row r="923">
      <c r="K923" s="2"/>
    </row>
    <row r="924">
      <c r="K924" s="2"/>
    </row>
    <row r="925">
      <c r="K925" s="2"/>
    </row>
    <row r="926">
      <c r="K926" s="2"/>
    </row>
    <row r="927">
      <c r="K927" s="2"/>
    </row>
    <row r="928">
      <c r="K928" s="2"/>
    </row>
    <row r="929">
      <c r="K929" s="2"/>
    </row>
    <row r="930">
      <c r="K930" s="2"/>
    </row>
    <row r="931">
      <c r="K931" s="2"/>
    </row>
    <row r="932">
      <c r="K932" s="2"/>
    </row>
    <row r="933">
      <c r="K933" s="2"/>
    </row>
    <row r="934">
      <c r="K934" s="2"/>
    </row>
    <row r="935">
      <c r="K935" s="2"/>
    </row>
    <row r="936">
      <c r="K936" s="2"/>
    </row>
    <row r="937">
      <c r="K937" s="2"/>
    </row>
    <row r="938">
      <c r="K938" s="2"/>
    </row>
    <row r="939">
      <c r="K939" s="2"/>
    </row>
    <row r="940">
      <c r="K940" s="2"/>
    </row>
    <row r="941">
      <c r="K941" s="2"/>
    </row>
    <row r="942">
      <c r="K942" s="2"/>
    </row>
    <row r="943">
      <c r="K943" s="2"/>
    </row>
    <row r="944">
      <c r="K944" s="2"/>
    </row>
    <row r="945">
      <c r="K945" s="2"/>
    </row>
    <row r="946">
      <c r="K946" s="2"/>
    </row>
    <row r="947">
      <c r="K947" s="2"/>
    </row>
    <row r="948">
      <c r="K948" s="2"/>
    </row>
    <row r="949">
      <c r="K949" s="2"/>
    </row>
    <row r="950">
      <c r="K950" s="2"/>
    </row>
    <row r="951">
      <c r="K951" s="2"/>
    </row>
    <row r="952">
      <c r="K952" s="2"/>
    </row>
    <row r="953">
      <c r="K953" s="2"/>
    </row>
    <row r="954">
      <c r="K954" s="2"/>
    </row>
    <row r="955">
      <c r="K955" s="2"/>
    </row>
    <row r="956">
      <c r="K956" s="2"/>
    </row>
    <row r="957">
      <c r="K957" s="2"/>
    </row>
    <row r="958">
      <c r="K958" s="2"/>
    </row>
    <row r="959">
      <c r="K959" s="2"/>
    </row>
    <row r="960">
      <c r="K960" s="2"/>
    </row>
    <row r="961">
      <c r="K961" s="2"/>
    </row>
    <row r="962">
      <c r="K962" s="2"/>
    </row>
    <row r="963">
      <c r="K963" s="2"/>
    </row>
    <row r="964">
      <c r="K964" s="2"/>
    </row>
    <row r="965">
      <c r="K965" s="2"/>
    </row>
    <row r="966">
      <c r="K966" s="2"/>
    </row>
    <row r="967">
      <c r="K967" s="2"/>
    </row>
    <row r="968">
      <c r="K968" s="2"/>
    </row>
    <row r="969">
      <c r="K969" s="2"/>
    </row>
    <row r="970">
      <c r="K970" s="2"/>
    </row>
    <row r="971">
      <c r="K971" s="2"/>
    </row>
    <row r="972">
      <c r="K972" s="2"/>
    </row>
    <row r="973">
      <c r="K973" s="2"/>
    </row>
    <row r="974">
      <c r="K974" s="2"/>
    </row>
    <row r="975">
      <c r="K975" s="2"/>
    </row>
    <row r="976">
      <c r="K976" s="2"/>
    </row>
    <row r="977">
      <c r="K977" s="2"/>
    </row>
    <row r="978">
      <c r="K978" s="2"/>
    </row>
    <row r="979">
      <c r="K979" s="2"/>
    </row>
    <row r="980">
      <c r="K980" s="2"/>
    </row>
    <row r="981">
      <c r="K981" s="2"/>
    </row>
    <row r="982">
      <c r="K982" s="2"/>
    </row>
    <row r="983">
      <c r="K983" s="2"/>
    </row>
    <row r="984">
      <c r="K984" s="2"/>
    </row>
    <row r="985">
      <c r="K985" s="2"/>
    </row>
    <row r="986">
      <c r="K986" s="2"/>
    </row>
    <row r="987">
      <c r="K987" s="2"/>
    </row>
    <row r="988">
      <c r="K988" s="2"/>
    </row>
    <row r="989">
      <c r="K989" s="2"/>
    </row>
    <row r="990">
      <c r="K990" s="2"/>
    </row>
    <row r="991">
      <c r="K991" s="2"/>
    </row>
    <row r="992">
      <c r="K992" s="2"/>
    </row>
    <row r="993">
      <c r="K993" s="2"/>
    </row>
    <row r="994">
      <c r="K994" s="2"/>
    </row>
    <row r="995">
      <c r="K995" s="2"/>
    </row>
    <row r="996">
      <c r="K996" s="2"/>
    </row>
    <row r="997">
      <c r="K997" s="2"/>
    </row>
    <row r="998">
      <c r="K998" s="2"/>
    </row>
    <row r="999">
      <c r="K999" s="2"/>
    </row>
    <row r="1000">
      <c r="K1000" s="2"/>
    </row>
    <row r="1001">
      <c r="K1001" s="2"/>
    </row>
    <row r="1002">
      <c r="K1002" s="2"/>
    </row>
    <row r="1003">
      <c r="K1003" s="2"/>
    </row>
    <row r="1004">
      <c r="K1004" s="2"/>
    </row>
    <row r="1005">
      <c r="K1005" s="2"/>
    </row>
    <row r="1006">
      <c r="K1006" s="2"/>
    </row>
    <row r="1007">
      <c r="K1007" s="2"/>
    </row>
    <row r="1008">
      <c r="K1008" s="2"/>
    </row>
    <row r="1009">
      <c r="K1009" s="2"/>
    </row>
    <row r="1010">
      <c r="K1010" s="2"/>
    </row>
    <row r="1011">
      <c r="K1011" s="2"/>
    </row>
    <row r="1012">
      <c r="K1012" s="2"/>
    </row>
    <row r="1013">
      <c r="K1013" s="2"/>
    </row>
    <row r="1014">
      <c r="K1014" s="2"/>
    </row>
    <row r="1015">
      <c r="K1015" s="2"/>
    </row>
    <row r="1016">
      <c r="K1016" s="2"/>
    </row>
    <row r="1017">
      <c r="K1017" s="2"/>
    </row>
    <row r="1018">
      <c r="K1018" s="2"/>
    </row>
    <row r="1019">
      <c r="K1019" s="2"/>
    </row>
    <row r="1020">
      <c r="K1020" s="2"/>
    </row>
    <row r="1021">
      <c r="K1021" s="2"/>
    </row>
    <row r="1022">
      <c r="K1022" s="2"/>
    </row>
    <row r="1023">
      <c r="K1023" s="2"/>
    </row>
    <row r="1024">
      <c r="K1024" s="2"/>
    </row>
    <row r="1025">
      <c r="K1025" s="2"/>
    </row>
    <row r="1026">
      <c r="K1026" s="2"/>
    </row>
    <row r="1027">
      <c r="K1027" s="2"/>
    </row>
    <row r="1028">
      <c r="K1028" s="2"/>
    </row>
    <row r="1029">
      <c r="K1029" s="2"/>
    </row>
    <row r="1030">
      <c r="K1030" s="2"/>
    </row>
    <row r="1031">
      <c r="K1031" s="2"/>
    </row>
    <row r="1032">
      <c r="K1032" s="2"/>
    </row>
    <row r="1033">
      <c r="K1033" s="2"/>
    </row>
    <row r="1034">
      <c r="K1034" s="2"/>
    </row>
    <row r="1035">
      <c r="K1035" s="2"/>
    </row>
    <row r="1036">
      <c r="K1036" s="2"/>
    </row>
    <row r="1037">
      <c r="K1037" s="2"/>
    </row>
    <row r="1038">
      <c r="K1038" s="2"/>
    </row>
    <row r="1039">
      <c r="K1039" s="2"/>
    </row>
    <row r="1040">
      <c r="K1040" s="2"/>
    </row>
    <row r="1041">
      <c r="K1041" s="2"/>
    </row>
    <row r="1042">
      <c r="K1042" s="2"/>
    </row>
    <row r="1043">
      <c r="K1043" s="2"/>
    </row>
    <row r="1044">
      <c r="K1044" s="2"/>
    </row>
    <row r="1045">
      <c r="K1045" s="2"/>
    </row>
    <row r="1046">
      <c r="K1046" s="2"/>
    </row>
    <row r="1047">
      <c r="K1047" s="2"/>
    </row>
    <row r="1048">
      <c r="K1048" s="2"/>
    </row>
    <row r="1049">
      <c r="K1049" s="2"/>
    </row>
    <row r="1050">
      <c r="K1050" s="2"/>
    </row>
    <row r="1051">
      <c r="K1051" s="2"/>
    </row>
    <row r="1052">
      <c r="K1052" s="2"/>
    </row>
    <row r="1053">
      <c r="K1053" s="2"/>
    </row>
    <row r="1054">
      <c r="K1054" s="2"/>
    </row>
    <row r="1055">
      <c r="K1055" s="2"/>
    </row>
    <row r="1056">
      <c r="K1056" s="2"/>
    </row>
    <row r="1057">
      <c r="K1057" s="2"/>
    </row>
    <row r="1058">
      <c r="K1058" s="2"/>
    </row>
    <row r="1059">
      <c r="K1059" s="2"/>
    </row>
    <row r="1060">
      <c r="K1060" s="2"/>
    </row>
    <row r="1061">
      <c r="K1061" s="2"/>
    </row>
    <row r="1062">
      <c r="K1062" s="2"/>
    </row>
    <row r="1063">
      <c r="K1063" s="2"/>
    </row>
    <row r="1064">
      <c r="K1064" s="2"/>
    </row>
    <row r="1065">
      <c r="K1065" s="2"/>
    </row>
    <row r="1066">
      <c r="K1066" s="2"/>
    </row>
    <row r="1067">
      <c r="K1067" s="2"/>
    </row>
    <row r="1068">
      <c r="K1068" s="2"/>
    </row>
    <row r="1069">
      <c r="K1069" s="2"/>
    </row>
    <row r="1070">
      <c r="K1070" s="2"/>
    </row>
    <row r="1071">
      <c r="K1071" s="2"/>
    </row>
    <row r="1072">
      <c r="K1072" s="2"/>
    </row>
    <row r="1073">
      <c r="K1073" s="2"/>
    </row>
    <row r="1074">
      <c r="K1074" s="2"/>
    </row>
    <row r="1075">
      <c r="K1075" s="2"/>
    </row>
    <row r="1076">
      <c r="K1076" s="2"/>
    </row>
    <row r="1077">
      <c r="K1077" s="2"/>
    </row>
    <row r="1078">
      <c r="K1078" s="2"/>
    </row>
    <row r="1079">
      <c r="K1079" s="2"/>
    </row>
    <row r="1080">
      <c r="K1080" s="2"/>
    </row>
    <row r="1081">
      <c r="K1081" s="2"/>
    </row>
    <row r="1082">
      <c r="K1082" s="2"/>
    </row>
    <row r="1083">
      <c r="K1083" s="2"/>
    </row>
    <row r="1084">
      <c r="K1084" s="2"/>
    </row>
    <row r="1085">
      <c r="K1085" s="2"/>
    </row>
    <row r="1086">
      <c r="K1086" s="2"/>
    </row>
    <row r="1087">
      <c r="K1087" s="2"/>
    </row>
    <row r="1088">
      <c r="K1088" s="2"/>
    </row>
    <row r="1089">
      <c r="K1089" s="2"/>
    </row>
    <row r="1090">
      <c r="K1090" s="2"/>
    </row>
    <row r="1091">
      <c r="K1091" s="2"/>
    </row>
    <row r="1092">
      <c r="K1092" s="2"/>
    </row>
    <row r="1093">
      <c r="K1093" s="2"/>
    </row>
    <row r="1094">
      <c r="K1094" s="2"/>
    </row>
    <row r="1095">
      <c r="K1095" s="2"/>
    </row>
    <row r="1096">
      <c r="K1096" s="2"/>
    </row>
    <row r="1097">
      <c r="K1097" s="2"/>
    </row>
    <row r="1098">
      <c r="K1098" s="2"/>
    </row>
    <row r="1099">
      <c r="K1099" s="2"/>
    </row>
    <row r="1100">
      <c r="K1100" s="2"/>
    </row>
    <row r="1101">
      <c r="K1101" s="2"/>
    </row>
    <row r="1102">
      <c r="K1102" s="2"/>
    </row>
    <row r="1103">
      <c r="K1103" s="2"/>
    </row>
    <row r="1104">
      <c r="K1104" s="2"/>
    </row>
    <row r="1105">
      <c r="K1105" s="2"/>
    </row>
    <row r="1106">
      <c r="K1106" s="2"/>
    </row>
    <row r="1107">
      <c r="K1107" s="2"/>
    </row>
    <row r="1108">
      <c r="K1108" s="2"/>
    </row>
    <row r="1109">
      <c r="K1109" s="2"/>
    </row>
    <row r="1110">
      <c r="K1110" s="2"/>
    </row>
    <row r="1111">
      <c r="K1111" s="2"/>
    </row>
    <row r="1112">
      <c r="K1112" s="2"/>
    </row>
    <row r="1113">
      <c r="K1113" s="2"/>
    </row>
    <row r="1114">
      <c r="K1114" s="2"/>
    </row>
    <row r="1115">
      <c r="K1115" s="2"/>
    </row>
    <row r="1116">
      <c r="K1116" s="2"/>
    </row>
    <row r="1117">
      <c r="K1117" s="2"/>
    </row>
    <row r="1118">
      <c r="K1118" s="2"/>
    </row>
    <row r="1119">
      <c r="K1119" s="2"/>
    </row>
    <row r="1120">
      <c r="K1120" s="2"/>
    </row>
    <row r="1121">
      <c r="K1121" s="2"/>
    </row>
    <row r="1122">
      <c r="K1122" s="2"/>
    </row>
    <row r="1123">
      <c r="K1123" s="2"/>
    </row>
    <row r="1124">
      <c r="K1124" s="2"/>
    </row>
    <row r="1125">
      <c r="K1125" s="2"/>
    </row>
    <row r="1126">
      <c r="K1126" s="2"/>
    </row>
    <row r="1127">
      <c r="K1127" s="2"/>
    </row>
    <row r="1128">
      <c r="K1128" s="2"/>
    </row>
    <row r="1129">
      <c r="K1129" s="2"/>
    </row>
    <row r="1130">
      <c r="K1130" s="2"/>
    </row>
    <row r="1131">
      <c r="K1131" s="2"/>
    </row>
    <row r="1132">
      <c r="K1132" s="2"/>
    </row>
    <row r="1133">
      <c r="K1133" s="2"/>
    </row>
    <row r="1134">
      <c r="K1134" s="2"/>
    </row>
    <row r="1135">
      <c r="K1135" s="2"/>
    </row>
    <row r="1136">
      <c r="K1136" s="2"/>
    </row>
    <row r="1137">
      <c r="K1137" s="2"/>
    </row>
    <row r="1138">
      <c r="K1138" s="2"/>
    </row>
    <row r="1139">
      <c r="K1139" s="2"/>
    </row>
    <row r="1140">
      <c r="K1140" s="2"/>
    </row>
    <row r="1141">
      <c r="K1141" s="2"/>
    </row>
    <row r="1142">
      <c r="K1142" s="2"/>
    </row>
    <row r="1143">
      <c r="K1143" s="2"/>
    </row>
    <row r="1144">
      <c r="K1144" s="2"/>
    </row>
    <row r="1145">
      <c r="K1145" s="2"/>
    </row>
    <row r="1146">
      <c r="K1146" s="2"/>
    </row>
    <row r="1147">
      <c r="K1147" s="2"/>
    </row>
    <row r="1148">
      <c r="K1148" s="2"/>
    </row>
    <row r="1149">
      <c r="K1149" s="2"/>
    </row>
    <row r="1150">
      <c r="K1150" s="2"/>
    </row>
    <row r="1151">
      <c r="K1151" s="2"/>
    </row>
    <row r="1152">
      <c r="K1152" s="2"/>
    </row>
    <row r="1153">
      <c r="K1153" s="2"/>
    </row>
    <row r="1154">
      <c r="K1154" s="2"/>
    </row>
    <row r="1155">
      <c r="K1155" s="2"/>
    </row>
    <row r="1156">
      <c r="K1156" s="2"/>
    </row>
    <row r="1157">
      <c r="K1157" s="2"/>
    </row>
    <row r="1158">
      <c r="K1158" s="2"/>
    </row>
    <row r="1159">
      <c r="K1159" s="2"/>
    </row>
    <row r="1160">
      <c r="K1160" s="2"/>
    </row>
    <row r="1161">
      <c r="K1161" s="2"/>
    </row>
    <row r="1162">
      <c r="K1162" s="2"/>
    </row>
    <row r="1163">
      <c r="K1163" s="2"/>
    </row>
    <row r="1164">
      <c r="K1164" s="2"/>
    </row>
    <row r="1165">
      <c r="K1165" s="2"/>
    </row>
    <row r="1166" hidden="1">
      <c r="K1166" s="2"/>
    </row>
    <row r="1167" hidden="1">
      <c r="K1167" s="2"/>
    </row>
    <row r="1168" hidden="1">
      <c r="K1168" s="2"/>
    </row>
    <row r="1169" hidden="1">
      <c r="K1169" s="2"/>
    </row>
    <row r="1170" hidden="1">
      <c r="K1170" s="2"/>
    </row>
    <row r="1171" hidden="1">
      <c r="K1171" s="2"/>
    </row>
    <row r="1172" hidden="1">
      <c r="K1172" s="2"/>
    </row>
    <row r="1173" hidden="1">
      <c r="K1173" s="2"/>
    </row>
    <row r="1174" hidden="1">
      <c r="K1174" s="2"/>
    </row>
    <row r="1175" hidden="1">
      <c r="K1175" s="2"/>
    </row>
    <row r="1176" hidden="1">
      <c r="K1176" s="2"/>
    </row>
    <row r="1177" hidden="1">
      <c r="K1177" s="2"/>
    </row>
    <row r="1178" hidden="1">
      <c r="K1178" s="2"/>
    </row>
    <row r="1179" hidden="1">
      <c r="K1179" s="2"/>
    </row>
    <row r="1180" hidden="1">
      <c r="K1180" s="2"/>
    </row>
    <row r="1181" hidden="1">
      <c r="K1181" s="2"/>
    </row>
    <row r="1182" hidden="1">
      <c r="K1182" s="2"/>
    </row>
    <row r="1183" hidden="1">
      <c r="K1183" s="2"/>
    </row>
    <row r="1184" hidden="1">
      <c r="K1184" s="2"/>
    </row>
    <row r="1185" hidden="1">
      <c r="K1185" s="2"/>
    </row>
    <row r="1186" hidden="1">
      <c r="K1186" s="2"/>
    </row>
    <row r="1187" hidden="1">
      <c r="K1187" s="2"/>
    </row>
    <row r="1188" hidden="1">
      <c r="K1188" s="2"/>
    </row>
    <row r="1189" hidden="1">
      <c r="K1189" s="2"/>
    </row>
    <row r="1190" hidden="1">
      <c r="K1190" s="2"/>
    </row>
    <row r="1191" hidden="1">
      <c r="K1191" s="2"/>
    </row>
    <row r="1192" hidden="1">
      <c r="K1192" s="2"/>
    </row>
    <row r="1193" hidden="1">
      <c r="K1193" s="2"/>
    </row>
    <row r="1194" hidden="1">
      <c r="K1194" s="2"/>
    </row>
    <row r="1195" hidden="1">
      <c r="K1195" s="2"/>
    </row>
    <row r="1196" hidden="1">
      <c r="K1196" s="2"/>
    </row>
    <row r="1197" hidden="1">
      <c r="K1197" s="2"/>
    </row>
    <row r="1198" hidden="1">
      <c r="K1198" s="2"/>
    </row>
    <row r="1199" hidden="1">
      <c r="K1199" s="2"/>
    </row>
    <row r="1200" hidden="1">
      <c r="K1200" s="2"/>
    </row>
    <row r="1201" hidden="1">
      <c r="K1201" s="2"/>
    </row>
    <row r="1202" hidden="1">
      <c r="K1202" s="2"/>
    </row>
    <row r="1203" hidden="1">
      <c r="K1203" s="2"/>
    </row>
    <row r="1204" hidden="1">
      <c r="K1204" s="2"/>
    </row>
    <row r="1205" hidden="1">
      <c r="K1205" s="2"/>
    </row>
    <row r="1206" hidden="1">
      <c r="K1206" s="2"/>
    </row>
    <row r="1207" hidden="1">
      <c r="K1207" s="2"/>
    </row>
    <row r="1208" hidden="1">
      <c r="K1208" s="2"/>
    </row>
    <row r="1209" hidden="1">
      <c r="K1209" s="2"/>
    </row>
    <row r="1210" hidden="1">
      <c r="K1210" s="2"/>
    </row>
    <row r="1211" hidden="1">
      <c r="K1211" s="2"/>
    </row>
    <row r="1212" hidden="1">
      <c r="K1212" s="2"/>
    </row>
    <row r="1213" hidden="1">
      <c r="K1213" s="2"/>
    </row>
    <row r="1214" hidden="1">
      <c r="K1214" s="2"/>
    </row>
    <row r="1215" hidden="1">
      <c r="K1215" s="2"/>
    </row>
    <row r="1216" hidden="1">
      <c r="K1216" s="2"/>
    </row>
    <row r="1217" hidden="1">
      <c r="K1217" s="2"/>
    </row>
    <row r="1218" hidden="1">
      <c r="K1218" s="2"/>
    </row>
    <row r="1219" hidden="1">
      <c r="K1219" s="2"/>
    </row>
    <row r="1220" hidden="1">
      <c r="K1220" s="2"/>
    </row>
    <row r="1221" hidden="1">
      <c r="K1221" s="2"/>
    </row>
    <row r="1222" hidden="1">
      <c r="K1222" s="2"/>
    </row>
    <row r="1223" hidden="1">
      <c r="K1223" s="2"/>
    </row>
    <row r="1224" hidden="1">
      <c r="K1224" s="2"/>
    </row>
    <row r="1225" hidden="1">
      <c r="K1225" s="2"/>
    </row>
    <row r="1226" hidden="1">
      <c r="K1226" s="2"/>
    </row>
    <row r="1227" hidden="1">
      <c r="K1227" s="2"/>
    </row>
    <row r="1228" hidden="1">
      <c r="K1228" s="2"/>
    </row>
    <row r="1229" hidden="1">
      <c r="K1229" s="2"/>
    </row>
    <row r="1230" hidden="1">
      <c r="K1230" s="2"/>
    </row>
    <row r="1231" hidden="1">
      <c r="K1231" s="2"/>
    </row>
    <row r="1232" hidden="1">
      <c r="K1232" s="2"/>
    </row>
    <row r="1233" hidden="1">
      <c r="K1233" s="2"/>
    </row>
    <row r="1234" hidden="1">
      <c r="K1234" s="2"/>
    </row>
    <row r="1235" hidden="1">
      <c r="K1235" s="2"/>
    </row>
    <row r="1236" hidden="1">
      <c r="K1236" s="2"/>
    </row>
    <row r="1237" hidden="1">
      <c r="K1237" s="2"/>
    </row>
    <row r="1238" hidden="1">
      <c r="K1238" s="2"/>
    </row>
    <row r="1239" hidden="1">
      <c r="K1239" s="2"/>
    </row>
    <row r="1240" hidden="1">
      <c r="K1240" s="2"/>
    </row>
    <row r="1241" hidden="1">
      <c r="K1241" s="2"/>
    </row>
    <row r="1242" hidden="1">
      <c r="K1242" s="2"/>
    </row>
    <row r="1243" hidden="1">
      <c r="K1243" s="2"/>
    </row>
    <row r="1244" hidden="1">
      <c r="K1244" s="2"/>
    </row>
    <row r="1245" hidden="1">
      <c r="K1245" s="2"/>
    </row>
    <row r="1246" hidden="1">
      <c r="K1246" s="2"/>
    </row>
    <row r="1247" hidden="1">
      <c r="K1247" s="2"/>
    </row>
    <row r="1248" hidden="1">
      <c r="K1248" s="2"/>
    </row>
    <row r="1249" hidden="1">
      <c r="K1249" s="2"/>
    </row>
    <row r="1250" hidden="1">
      <c r="K1250" s="2"/>
    </row>
    <row r="1251" hidden="1">
      <c r="K1251" s="2"/>
    </row>
    <row r="1252" hidden="1">
      <c r="K1252" s="2"/>
    </row>
    <row r="1253" hidden="1">
      <c r="K1253" s="2"/>
    </row>
    <row r="1254" hidden="1">
      <c r="K1254" s="2"/>
    </row>
    <row r="1255" hidden="1">
      <c r="K1255" s="2"/>
    </row>
    <row r="1256" hidden="1">
      <c r="K1256" s="2"/>
    </row>
    <row r="1257" hidden="1">
      <c r="K1257" s="2"/>
    </row>
    <row r="1258" hidden="1">
      <c r="K1258" s="2"/>
    </row>
    <row r="1259" hidden="1">
      <c r="K1259" s="2"/>
    </row>
    <row r="1260" hidden="1">
      <c r="K1260" s="2"/>
    </row>
    <row r="1261" hidden="1">
      <c r="K1261" s="2"/>
    </row>
    <row r="1262" hidden="1">
      <c r="K1262" s="2"/>
    </row>
    <row r="1263" hidden="1">
      <c r="K1263" s="2"/>
    </row>
    <row r="1264" hidden="1">
      <c r="K1264" s="2"/>
    </row>
    <row r="1265" hidden="1">
      <c r="K1265" s="2"/>
    </row>
    <row r="1266" hidden="1">
      <c r="K1266" s="2"/>
    </row>
    <row r="1267" hidden="1">
      <c r="K1267" s="2"/>
    </row>
    <row r="1268" hidden="1">
      <c r="K1268" s="2"/>
    </row>
    <row r="1269" hidden="1">
      <c r="K1269" s="2"/>
    </row>
    <row r="1270" hidden="1">
      <c r="K1270" s="2"/>
    </row>
    <row r="1271" hidden="1">
      <c r="K1271" s="2"/>
    </row>
    <row r="1272" hidden="1">
      <c r="K1272" s="2"/>
    </row>
    <row r="1273" hidden="1">
      <c r="K1273" s="2"/>
    </row>
    <row r="1274" hidden="1">
      <c r="K1274" s="2"/>
    </row>
    <row r="1275" hidden="1">
      <c r="K1275" s="2"/>
    </row>
    <row r="1276" hidden="1">
      <c r="K1276" s="2"/>
    </row>
    <row r="1277" hidden="1">
      <c r="K1277" s="2"/>
    </row>
    <row r="1278" hidden="1">
      <c r="K1278" s="2"/>
    </row>
    <row r="1279" hidden="1">
      <c r="K1279" s="2"/>
    </row>
    <row r="1280" hidden="1">
      <c r="K1280" s="2"/>
    </row>
    <row r="1281" hidden="1">
      <c r="K1281" s="2"/>
    </row>
    <row r="1282" hidden="1">
      <c r="K1282" s="2"/>
    </row>
    <row r="1283" hidden="1">
      <c r="K1283" s="2"/>
    </row>
    <row r="1284" hidden="1">
      <c r="K1284" s="2"/>
    </row>
    <row r="1285" hidden="1">
      <c r="K1285" s="2"/>
    </row>
    <row r="1286" hidden="1">
      <c r="K1286" s="2"/>
    </row>
    <row r="1287" hidden="1">
      <c r="K1287" s="2"/>
    </row>
    <row r="1288" hidden="1">
      <c r="K1288" s="2"/>
    </row>
    <row r="1289" hidden="1">
      <c r="K1289" s="2"/>
    </row>
    <row r="1290" hidden="1">
      <c r="K1290" s="2"/>
    </row>
    <row r="1291" hidden="1">
      <c r="K1291" s="2"/>
    </row>
    <row r="1292" hidden="1">
      <c r="K1292" s="2"/>
    </row>
    <row r="1293" hidden="1">
      <c r="K1293" s="2"/>
    </row>
    <row r="1294" hidden="1">
      <c r="K1294" s="2"/>
    </row>
    <row r="1295" hidden="1">
      <c r="K1295" s="2"/>
    </row>
    <row r="1296" hidden="1">
      <c r="K1296" s="2"/>
    </row>
    <row r="1297" hidden="1">
      <c r="K1297" s="2"/>
    </row>
    <row r="1298" hidden="1">
      <c r="K1298" s="2"/>
    </row>
    <row r="1299" hidden="1">
      <c r="K1299" s="2"/>
    </row>
    <row r="1300" hidden="1">
      <c r="K1300" s="2"/>
    </row>
    <row r="1301" hidden="1">
      <c r="K1301" s="2"/>
    </row>
    <row r="1302" hidden="1">
      <c r="K1302" s="2"/>
    </row>
    <row r="1303" hidden="1">
      <c r="K1303" s="2"/>
    </row>
    <row r="1304" hidden="1">
      <c r="K1304" s="2"/>
    </row>
    <row r="1305" hidden="1">
      <c r="K1305" s="2"/>
    </row>
    <row r="1306" hidden="1">
      <c r="K1306" s="2"/>
    </row>
    <row r="1307" hidden="1">
      <c r="K1307" s="2"/>
    </row>
    <row r="1308" hidden="1">
      <c r="K1308" s="2"/>
    </row>
    <row r="1309" hidden="1">
      <c r="K1309" s="2"/>
    </row>
    <row r="1310" hidden="1">
      <c r="K1310" s="2"/>
    </row>
    <row r="1311" hidden="1">
      <c r="K1311" s="2"/>
    </row>
    <row r="1312" hidden="1">
      <c r="K1312" s="2"/>
    </row>
    <row r="1313" hidden="1">
      <c r="K1313" s="2"/>
    </row>
    <row r="1314" hidden="1">
      <c r="K1314" s="2"/>
    </row>
    <row r="1315" hidden="1">
      <c r="K1315" s="2"/>
    </row>
    <row r="1316" hidden="1">
      <c r="K1316" s="2"/>
    </row>
    <row r="1317" hidden="1">
      <c r="K1317" s="2"/>
    </row>
    <row r="1318" hidden="1">
      <c r="K1318" s="2"/>
    </row>
    <row r="1319" hidden="1">
      <c r="K1319" s="2"/>
    </row>
    <row r="1320" hidden="1">
      <c r="K1320" s="2"/>
    </row>
    <row r="1321" hidden="1">
      <c r="K1321" s="2"/>
    </row>
    <row r="1322" hidden="1">
      <c r="K1322" s="2"/>
    </row>
    <row r="1323" hidden="1">
      <c r="K1323" s="2"/>
    </row>
    <row r="1324" hidden="1">
      <c r="K1324" s="2"/>
    </row>
    <row r="1325" hidden="1">
      <c r="K1325" s="2"/>
    </row>
    <row r="1326" hidden="1">
      <c r="K1326" s="2"/>
    </row>
    <row r="1327" hidden="1">
      <c r="K1327" s="2"/>
    </row>
    <row r="1328" hidden="1">
      <c r="K1328" s="2"/>
    </row>
    <row r="1329" hidden="1">
      <c r="K1329" s="2"/>
    </row>
    <row r="1330" hidden="1">
      <c r="K1330" s="2"/>
    </row>
    <row r="1331" hidden="1">
      <c r="K1331" s="2"/>
    </row>
    <row r="1332" hidden="1">
      <c r="K1332" s="2"/>
    </row>
    <row r="1333" hidden="1">
      <c r="K1333" s="2"/>
    </row>
    <row r="1334" hidden="1">
      <c r="K1334" s="2"/>
    </row>
    <row r="1335" hidden="1">
      <c r="K1335" s="2"/>
    </row>
    <row r="1336" hidden="1">
      <c r="K1336" s="2"/>
    </row>
    <row r="1337" hidden="1">
      <c r="K1337" s="2"/>
    </row>
    <row r="1338" hidden="1">
      <c r="K1338" s="2"/>
    </row>
    <row r="1339" hidden="1">
      <c r="K1339" s="2"/>
    </row>
    <row r="1340" hidden="1">
      <c r="K1340" s="2"/>
    </row>
    <row r="1341" hidden="1">
      <c r="K1341" s="2"/>
    </row>
    <row r="1342" hidden="1">
      <c r="K1342" s="2"/>
    </row>
    <row r="1343" hidden="1">
      <c r="K1343" s="2"/>
    </row>
    <row r="1344" hidden="1">
      <c r="K1344" s="2"/>
    </row>
    <row r="1345" hidden="1">
      <c r="K1345" s="2"/>
    </row>
    <row r="1346" hidden="1">
      <c r="K1346" s="2"/>
    </row>
    <row r="1347" hidden="1">
      <c r="K1347" s="2"/>
    </row>
    <row r="1348" hidden="1">
      <c r="K1348" s="2"/>
    </row>
    <row r="1349" hidden="1">
      <c r="K1349" s="2"/>
    </row>
    <row r="1350" hidden="1">
      <c r="K1350" s="2"/>
    </row>
    <row r="1351" hidden="1">
      <c r="K1351" s="2"/>
    </row>
    <row r="1352" hidden="1">
      <c r="K1352" s="2"/>
    </row>
    <row r="1353" hidden="1">
      <c r="K1353" s="2"/>
    </row>
    <row r="1354" hidden="1">
      <c r="K1354" s="2"/>
    </row>
    <row r="1355" hidden="1">
      <c r="K1355" s="2"/>
    </row>
    <row r="1356" hidden="1">
      <c r="K1356" s="2"/>
    </row>
    <row r="1357" hidden="1">
      <c r="K1357" s="2"/>
    </row>
    <row r="1358" hidden="1">
      <c r="K1358" s="2"/>
    </row>
    <row r="1359" hidden="1">
      <c r="K1359" s="2"/>
    </row>
    <row r="1360" hidden="1">
      <c r="K1360" s="2"/>
    </row>
    <row r="1361" hidden="1">
      <c r="K1361" s="2"/>
    </row>
    <row r="1362" hidden="1">
      <c r="K1362" s="2"/>
    </row>
    <row r="1363" hidden="1">
      <c r="K1363" s="2"/>
    </row>
    <row r="1364" hidden="1">
      <c r="K1364" s="2"/>
    </row>
    <row r="1365" hidden="1">
      <c r="K1365" s="2"/>
    </row>
    <row r="1366" hidden="1">
      <c r="K1366" s="2"/>
    </row>
    <row r="1367" hidden="1">
      <c r="K1367" s="2"/>
    </row>
    <row r="1368" hidden="1">
      <c r="K1368" s="2"/>
    </row>
    <row r="1369" hidden="1">
      <c r="K1369" s="2"/>
    </row>
    <row r="1370" hidden="1">
      <c r="K1370" s="2"/>
    </row>
    <row r="1371" hidden="1">
      <c r="K1371" s="2"/>
    </row>
    <row r="1372" hidden="1">
      <c r="K1372" s="2"/>
    </row>
    <row r="1373" hidden="1">
      <c r="K1373" s="2"/>
    </row>
    <row r="1374" hidden="1">
      <c r="K1374" s="2"/>
    </row>
    <row r="1375" hidden="1">
      <c r="K1375" s="2"/>
    </row>
    <row r="1376" hidden="1">
      <c r="K1376" s="2"/>
    </row>
    <row r="1377" hidden="1">
      <c r="K1377" s="2"/>
    </row>
    <row r="1378" hidden="1">
      <c r="K1378" s="2"/>
    </row>
    <row r="1379" hidden="1">
      <c r="K1379" s="2"/>
    </row>
    <row r="1380" hidden="1">
      <c r="K1380" s="2"/>
    </row>
    <row r="1381" hidden="1">
      <c r="K1381" s="2"/>
    </row>
    <row r="1382" hidden="1">
      <c r="K1382" s="2"/>
    </row>
    <row r="1383" hidden="1">
      <c r="K1383" s="2"/>
    </row>
    <row r="1384" hidden="1">
      <c r="K1384" s="2"/>
    </row>
    <row r="1385" hidden="1">
      <c r="K1385" s="2"/>
    </row>
    <row r="1386" hidden="1">
      <c r="K1386" s="2"/>
    </row>
    <row r="1387" hidden="1">
      <c r="K1387" s="2"/>
    </row>
    <row r="1388" hidden="1">
      <c r="K1388" s="2"/>
    </row>
    <row r="1389" hidden="1">
      <c r="K1389" s="2"/>
    </row>
    <row r="1390" hidden="1">
      <c r="K1390" s="2"/>
    </row>
    <row r="1391" hidden="1">
      <c r="K1391" s="2"/>
    </row>
    <row r="1392" hidden="1">
      <c r="K1392" s="2"/>
    </row>
    <row r="1393" hidden="1">
      <c r="K1393" s="2"/>
    </row>
    <row r="1394" hidden="1">
      <c r="K1394" s="2"/>
    </row>
    <row r="1395" hidden="1">
      <c r="K1395" s="2"/>
    </row>
    <row r="1396" hidden="1">
      <c r="K1396" s="2"/>
    </row>
    <row r="1397" hidden="1">
      <c r="K1397" s="2"/>
    </row>
    <row r="1398" hidden="1">
      <c r="K1398" s="2"/>
    </row>
    <row r="1399" hidden="1">
      <c r="K1399" s="2"/>
    </row>
    <row r="1400" hidden="1">
      <c r="K1400" s="2"/>
    </row>
    <row r="1401" hidden="1">
      <c r="K1401" s="2"/>
    </row>
    <row r="1402" hidden="1">
      <c r="K1402" s="2"/>
    </row>
    <row r="1403" hidden="1">
      <c r="K1403" s="2"/>
    </row>
    <row r="1404" hidden="1">
      <c r="K1404" s="2"/>
    </row>
    <row r="1405" hidden="1">
      <c r="K1405" s="2"/>
    </row>
    <row r="1406" hidden="1">
      <c r="K1406" s="2"/>
    </row>
    <row r="1407" hidden="1">
      <c r="K1407" s="2"/>
    </row>
    <row r="1408" hidden="1">
      <c r="K1408" s="2"/>
    </row>
    <row r="1409" hidden="1">
      <c r="K1409" s="2"/>
    </row>
    <row r="1410" hidden="1">
      <c r="K1410" s="2"/>
    </row>
    <row r="1411" hidden="1">
      <c r="K1411" s="2"/>
    </row>
    <row r="1412" hidden="1">
      <c r="K1412" s="2"/>
    </row>
    <row r="1413" hidden="1">
      <c r="K1413" s="2"/>
    </row>
    <row r="1414" hidden="1">
      <c r="K1414" s="2"/>
    </row>
    <row r="1415" hidden="1">
      <c r="K1415" s="2"/>
    </row>
    <row r="1416" hidden="1">
      <c r="K1416" s="2"/>
    </row>
    <row r="1417" hidden="1">
      <c r="K1417" s="2"/>
    </row>
    <row r="1418" hidden="1">
      <c r="K1418" s="2"/>
    </row>
    <row r="1419" hidden="1">
      <c r="K1419" s="2"/>
    </row>
    <row r="1420" hidden="1">
      <c r="K1420" s="2"/>
    </row>
    <row r="1421" hidden="1">
      <c r="K1421" s="2"/>
    </row>
    <row r="1422" hidden="1">
      <c r="K1422" s="2"/>
    </row>
    <row r="1423" hidden="1">
      <c r="K1423" s="2"/>
    </row>
    <row r="1424" hidden="1">
      <c r="K1424" s="2"/>
    </row>
    <row r="1425" hidden="1">
      <c r="K1425" s="2"/>
    </row>
    <row r="1426" hidden="1">
      <c r="K1426" s="2"/>
    </row>
    <row r="1427" hidden="1">
      <c r="K1427" s="2"/>
    </row>
    <row r="1428" hidden="1">
      <c r="K1428" s="2"/>
    </row>
    <row r="1429" hidden="1">
      <c r="K1429" s="2"/>
    </row>
    <row r="1430" hidden="1">
      <c r="K1430" s="2"/>
    </row>
    <row r="1431" hidden="1">
      <c r="K1431" s="2"/>
    </row>
    <row r="1432" hidden="1">
      <c r="K1432" s="2"/>
    </row>
    <row r="1433" hidden="1">
      <c r="K1433" s="2"/>
    </row>
    <row r="1434" hidden="1">
      <c r="K1434" s="2"/>
    </row>
    <row r="1435" hidden="1">
      <c r="K1435" s="2"/>
    </row>
    <row r="1436" hidden="1">
      <c r="K1436" s="2"/>
    </row>
    <row r="1437" hidden="1">
      <c r="K1437" s="2"/>
    </row>
    <row r="1438" hidden="1">
      <c r="K1438" s="2"/>
    </row>
    <row r="1439" hidden="1">
      <c r="K1439" s="2"/>
    </row>
    <row r="1440" hidden="1">
      <c r="K1440" s="2"/>
    </row>
    <row r="1441" hidden="1">
      <c r="K1441" s="2"/>
    </row>
    <row r="1442" hidden="1">
      <c r="K1442" s="2"/>
    </row>
    <row r="1443" hidden="1">
      <c r="K1443" s="2"/>
    </row>
    <row r="1444" hidden="1">
      <c r="K1444" s="2"/>
    </row>
    <row r="1445" hidden="1">
      <c r="K1445" s="2"/>
    </row>
    <row r="1446" hidden="1">
      <c r="K1446" s="2"/>
    </row>
    <row r="1447" hidden="1">
      <c r="K1447" s="2"/>
    </row>
    <row r="1448" hidden="1">
      <c r="K1448" s="2"/>
    </row>
    <row r="1449" hidden="1">
      <c r="K1449" s="2"/>
    </row>
    <row r="1450" hidden="1">
      <c r="K1450" s="2"/>
    </row>
    <row r="1451" hidden="1">
      <c r="K1451" s="2"/>
    </row>
    <row r="1452" hidden="1">
      <c r="K1452" s="2"/>
    </row>
    <row r="1453" hidden="1">
      <c r="K1453" s="2"/>
    </row>
    <row r="1454" hidden="1">
      <c r="K1454" s="2"/>
    </row>
    <row r="1455" hidden="1">
      <c r="K1455" s="2"/>
    </row>
    <row r="1456" hidden="1">
      <c r="K1456" s="2"/>
    </row>
    <row r="1457" hidden="1">
      <c r="K1457" s="2"/>
    </row>
    <row r="1458" hidden="1">
      <c r="K1458" s="2"/>
    </row>
    <row r="1459" hidden="1">
      <c r="K1459" s="2"/>
    </row>
    <row r="1460" hidden="1">
      <c r="K1460" s="2"/>
    </row>
    <row r="1461" hidden="1">
      <c r="K1461" s="2"/>
    </row>
    <row r="1462" hidden="1">
      <c r="K1462" s="2"/>
    </row>
    <row r="1463" hidden="1">
      <c r="K1463" s="2"/>
    </row>
    <row r="1464" hidden="1">
      <c r="K1464" s="2"/>
    </row>
    <row r="1465" hidden="1">
      <c r="K1465" s="2"/>
    </row>
    <row r="1466" hidden="1">
      <c r="K1466" s="2"/>
    </row>
    <row r="1467" hidden="1">
      <c r="K1467" s="2"/>
    </row>
    <row r="1468" hidden="1">
      <c r="K1468" s="2"/>
    </row>
    <row r="1469" hidden="1">
      <c r="K1469" s="2"/>
    </row>
    <row r="1470" hidden="1">
      <c r="K1470" s="2"/>
    </row>
    <row r="1471" hidden="1">
      <c r="K1471" s="2"/>
    </row>
    <row r="1472" hidden="1">
      <c r="K1472" s="2"/>
    </row>
    <row r="1473" hidden="1">
      <c r="K1473" s="2"/>
    </row>
    <row r="1474" hidden="1">
      <c r="K1474" s="2"/>
    </row>
    <row r="1475" hidden="1">
      <c r="K1475" s="2"/>
    </row>
    <row r="1476" hidden="1">
      <c r="K1476" s="2"/>
    </row>
    <row r="1477" hidden="1">
      <c r="K1477" s="2"/>
    </row>
    <row r="1478" hidden="1">
      <c r="K1478" s="2"/>
    </row>
    <row r="1479" hidden="1">
      <c r="K1479" s="2"/>
    </row>
    <row r="1480" hidden="1">
      <c r="K1480" s="2"/>
    </row>
    <row r="1481" hidden="1">
      <c r="K1481" s="2"/>
    </row>
    <row r="1482" hidden="1">
      <c r="K1482" s="2"/>
    </row>
    <row r="1483" hidden="1">
      <c r="K1483" s="2"/>
    </row>
    <row r="1484" hidden="1">
      <c r="K1484" s="2"/>
    </row>
    <row r="1485" hidden="1">
      <c r="K1485" s="2"/>
    </row>
    <row r="1486" hidden="1">
      <c r="K1486" s="2"/>
    </row>
    <row r="1487" hidden="1">
      <c r="K1487" s="2"/>
    </row>
    <row r="1488" hidden="1">
      <c r="K1488" s="2"/>
    </row>
    <row r="1489" hidden="1">
      <c r="K1489" s="2"/>
    </row>
    <row r="1490" hidden="1">
      <c r="K1490" s="2"/>
    </row>
    <row r="1491" hidden="1">
      <c r="K1491" s="2"/>
    </row>
    <row r="1492" hidden="1">
      <c r="K1492" s="2"/>
    </row>
    <row r="1493" hidden="1">
      <c r="K1493" s="2"/>
    </row>
    <row r="1494" hidden="1">
      <c r="K1494" s="2"/>
    </row>
    <row r="1495" hidden="1">
      <c r="K1495" s="2"/>
    </row>
    <row r="1496" hidden="1">
      <c r="K1496" s="2"/>
    </row>
    <row r="1497" hidden="1">
      <c r="K1497" s="2"/>
    </row>
    <row r="1498" hidden="1">
      <c r="K1498" s="2"/>
    </row>
    <row r="1499" hidden="1">
      <c r="K1499" s="2"/>
    </row>
    <row r="1500" hidden="1">
      <c r="K1500" s="2"/>
    </row>
    <row r="1501" hidden="1">
      <c r="K1501" s="2"/>
    </row>
    <row r="1502" hidden="1">
      <c r="K1502" s="2"/>
    </row>
    <row r="1503" hidden="1">
      <c r="K1503" s="2"/>
    </row>
    <row r="1504" hidden="1">
      <c r="K1504" s="2"/>
    </row>
    <row r="1505" hidden="1">
      <c r="K1505" s="2"/>
    </row>
    <row r="1506" hidden="1">
      <c r="K1506" s="2"/>
    </row>
    <row r="1507" hidden="1">
      <c r="K1507" s="2"/>
    </row>
    <row r="1508" hidden="1">
      <c r="K1508" s="2"/>
    </row>
    <row r="1509" hidden="1">
      <c r="K1509" s="2"/>
    </row>
    <row r="1510" hidden="1">
      <c r="K1510" s="2"/>
    </row>
    <row r="1511" hidden="1">
      <c r="K1511" s="2"/>
    </row>
    <row r="1512" hidden="1">
      <c r="K1512" s="2"/>
    </row>
    <row r="1513" hidden="1">
      <c r="K1513" s="2"/>
    </row>
    <row r="1514" hidden="1">
      <c r="K1514" s="2"/>
    </row>
    <row r="1515" hidden="1">
      <c r="K1515" s="2"/>
    </row>
    <row r="1516" hidden="1">
      <c r="K1516" s="2"/>
    </row>
    <row r="1517" hidden="1">
      <c r="K1517" s="2"/>
    </row>
    <row r="1518" hidden="1">
      <c r="K1518" s="2"/>
    </row>
    <row r="1519" hidden="1">
      <c r="K1519" s="2"/>
    </row>
    <row r="1520" hidden="1">
      <c r="K1520" s="2"/>
    </row>
    <row r="1521" hidden="1">
      <c r="K1521" s="2"/>
    </row>
    <row r="1522" hidden="1">
      <c r="K1522" s="2"/>
    </row>
    <row r="1523" hidden="1">
      <c r="K1523" s="2"/>
    </row>
    <row r="1524" hidden="1">
      <c r="K1524" s="2"/>
    </row>
    <row r="1525" hidden="1">
      <c r="K1525" s="2"/>
    </row>
    <row r="1526" hidden="1">
      <c r="K1526" s="2"/>
    </row>
    <row r="1527" hidden="1">
      <c r="K1527" s="2"/>
    </row>
    <row r="1528" hidden="1">
      <c r="K1528" s="2"/>
    </row>
    <row r="1529" hidden="1">
      <c r="K1529" s="2"/>
    </row>
    <row r="1530" hidden="1">
      <c r="K1530" s="2"/>
    </row>
    <row r="1531" hidden="1">
      <c r="K1531" s="2"/>
    </row>
    <row r="1532" hidden="1">
      <c r="K1532" s="2"/>
    </row>
    <row r="1533" hidden="1">
      <c r="K1533" s="2"/>
    </row>
    <row r="1534" hidden="1">
      <c r="K1534" s="2"/>
    </row>
    <row r="1535" hidden="1">
      <c r="K1535" s="2"/>
    </row>
    <row r="1536" hidden="1">
      <c r="K1536" s="2"/>
    </row>
    <row r="1537" hidden="1">
      <c r="K1537" s="2"/>
    </row>
    <row r="1538" hidden="1">
      <c r="K1538" s="2"/>
    </row>
    <row r="1539" hidden="1">
      <c r="K1539" s="2"/>
    </row>
    <row r="1540" hidden="1">
      <c r="K1540" s="2"/>
    </row>
    <row r="1541" hidden="1">
      <c r="K1541" s="2"/>
    </row>
    <row r="1542" hidden="1">
      <c r="K1542" s="2"/>
    </row>
    <row r="1543" hidden="1">
      <c r="K1543" s="2"/>
    </row>
    <row r="1544" hidden="1">
      <c r="K1544" s="2"/>
    </row>
    <row r="1545" hidden="1">
      <c r="K1545" s="2"/>
    </row>
    <row r="1546" hidden="1">
      <c r="K1546" s="2"/>
    </row>
    <row r="1547" hidden="1">
      <c r="K1547" s="2"/>
    </row>
    <row r="1548" hidden="1">
      <c r="K1548" s="2"/>
    </row>
    <row r="1549" hidden="1">
      <c r="K1549" s="2"/>
    </row>
    <row r="1550" hidden="1">
      <c r="K1550" s="2"/>
    </row>
    <row r="1551" hidden="1">
      <c r="K1551" s="2"/>
    </row>
    <row r="1552" hidden="1">
      <c r="K1552" s="2"/>
    </row>
    <row r="1553" hidden="1">
      <c r="K1553" s="2"/>
    </row>
    <row r="1554" hidden="1">
      <c r="K1554" s="2"/>
    </row>
    <row r="1555" hidden="1">
      <c r="K1555" s="2"/>
    </row>
    <row r="1556" hidden="1">
      <c r="K1556" s="2"/>
    </row>
    <row r="1557" hidden="1">
      <c r="K1557" s="2"/>
    </row>
    <row r="1558" hidden="1">
      <c r="K1558" s="2"/>
    </row>
    <row r="1559" hidden="1">
      <c r="K1559" s="2"/>
    </row>
    <row r="1560" hidden="1">
      <c r="K1560" s="2"/>
    </row>
    <row r="1561" hidden="1">
      <c r="K1561" s="2"/>
    </row>
    <row r="1562" hidden="1">
      <c r="K1562" s="2"/>
    </row>
    <row r="1563" hidden="1">
      <c r="K1563" s="2"/>
    </row>
    <row r="1564" hidden="1">
      <c r="K1564" s="2"/>
    </row>
    <row r="1565" hidden="1">
      <c r="K1565" s="2"/>
    </row>
    <row r="1566" hidden="1">
      <c r="K1566" s="2"/>
    </row>
    <row r="1567" hidden="1">
      <c r="K1567" s="2"/>
    </row>
    <row r="1568" hidden="1">
      <c r="K1568" s="2"/>
    </row>
    <row r="1569" hidden="1">
      <c r="K1569" s="2"/>
    </row>
    <row r="1570" hidden="1">
      <c r="K1570" s="2"/>
    </row>
    <row r="1571" hidden="1">
      <c r="K1571" s="2"/>
    </row>
    <row r="1572" hidden="1">
      <c r="K1572" s="2"/>
    </row>
    <row r="1573" hidden="1">
      <c r="K1573" s="2"/>
    </row>
    <row r="1574" hidden="1">
      <c r="K1574" s="2"/>
    </row>
    <row r="1575" hidden="1">
      <c r="K1575" s="2"/>
    </row>
    <row r="1576" hidden="1">
      <c r="K1576" s="2"/>
    </row>
    <row r="1577" hidden="1">
      <c r="K1577" s="2"/>
    </row>
    <row r="1578" hidden="1">
      <c r="K1578" s="2"/>
    </row>
    <row r="1579" hidden="1">
      <c r="K1579" s="2"/>
    </row>
    <row r="1580" hidden="1">
      <c r="K1580" s="2"/>
    </row>
    <row r="1581" hidden="1">
      <c r="K1581" s="2"/>
    </row>
    <row r="1582" hidden="1">
      <c r="K1582" s="2"/>
    </row>
    <row r="1583" hidden="1">
      <c r="K1583" s="2"/>
    </row>
    <row r="1584" hidden="1">
      <c r="K1584" s="2"/>
    </row>
    <row r="1585" hidden="1">
      <c r="K1585" s="2"/>
    </row>
    <row r="1586" hidden="1">
      <c r="K1586" s="2"/>
    </row>
    <row r="1587" hidden="1">
      <c r="K1587" s="2"/>
    </row>
    <row r="1588" hidden="1">
      <c r="K1588" s="2"/>
    </row>
    <row r="1589" hidden="1">
      <c r="K1589" s="2"/>
    </row>
    <row r="1590" hidden="1">
      <c r="K1590" s="2"/>
    </row>
    <row r="1591" hidden="1">
      <c r="K1591" s="2"/>
    </row>
    <row r="1592" hidden="1">
      <c r="K1592" s="2"/>
    </row>
    <row r="1593" hidden="1">
      <c r="K1593" s="2"/>
    </row>
    <row r="1594" hidden="1">
      <c r="K1594" s="2"/>
    </row>
    <row r="1595" hidden="1">
      <c r="K1595" s="2"/>
    </row>
    <row r="1596" hidden="1">
      <c r="K1596" s="2"/>
    </row>
    <row r="1597" hidden="1">
      <c r="K1597" s="2"/>
    </row>
    <row r="1598" hidden="1">
      <c r="K1598" s="2"/>
    </row>
    <row r="1599" hidden="1">
      <c r="K1599" s="2"/>
    </row>
    <row r="1600" hidden="1">
      <c r="K1600" s="2"/>
    </row>
    <row r="1601" hidden="1">
      <c r="K1601" s="2"/>
    </row>
    <row r="1602" hidden="1">
      <c r="K1602" s="2"/>
    </row>
    <row r="1603" hidden="1">
      <c r="K1603" s="2"/>
    </row>
    <row r="1604" hidden="1">
      <c r="K1604" s="2"/>
    </row>
    <row r="1605" hidden="1">
      <c r="K1605" s="2"/>
    </row>
    <row r="1606" hidden="1">
      <c r="K1606" s="2"/>
    </row>
    <row r="1607" hidden="1">
      <c r="K1607" s="2"/>
    </row>
    <row r="1608" hidden="1">
      <c r="K1608" s="2"/>
    </row>
    <row r="1609" hidden="1">
      <c r="K1609" s="2"/>
    </row>
    <row r="1610" hidden="1">
      <c r="K1610" s="2"/>
    </row>
    <row r="1611" hidden="1">
      <c r="K1611" s="2"/>
    </row>
    <row r="1612" hidden="1">
      <c r="K1612" s="2"/>
    </row>
    <row r="1613" hidden="1">
      <c r="K1613" s="2"/>
    </row>
    <row r="1614" hidden="1">
      <c r="K1614" s="2"/>
    </row>
    <row r="1615" hidden="1">
      <c r="K1615" s="2"/>
    </row>
    <row r="1616" hidden="1">
      <c r="K1616" s="2"/>
    </row>
    <row r="1617" hidden="1">
      <c r="K1617" s="2"/>
    </row>
    <row r="1618" hidden="1">
      <c r="K1618" s="2"/>
    </row>
    <row r="1619" hidden="1">
      <c r="K1619" s="2"/>
    </row>
    <row r="1620" hidden="1">
      <c r="K1620" s="2"/>
    </row>
    <row r="1621" hidden="1">
      <c r="K1621" s="2"/>
    </row>
    <row r="1622" hidden="1">
      <c r="K1622" s="2"/>
    </row>
    <row r="1623" hidden="1">
      <c r="K1623" s="2"/>
    </row>
    <row r="1624" hidden="1">
      <c r="K1624" s="2"/>
    </row>
    <row r="1625" hidden="1">
      <c r="K1625" s="2"/>
    </row>
    <row r="1626" hidden="1">
      <c r="K1626" s="2"/>
    </row>
    <row r="1627" hidden="1">
      <c r="K1627" s="2"/>
    </row>
    <row r="1628" hidden="1">
      <c r="K1628" s="2"/>
    </row>
    <row r="1629" hidden="1">
      <c r="K1629" s="2"/>
    </row>
    <row r="1630" hidden="1">
      <c r="K1630" s="2"/>
    </row>
    <row r="1631" hidden="1">
      <c r="K1631" s="2"/>
    </row>
    <row r="1632" hidden="1">
      <c r="K1632" s="2"/>
    </row>
    <row r="1633" hidden="1">
      <c r="K1633" s="2"/>
    </row>
    <row r="1634" hidden="1">
      <c r="K1634" s="2"/>
    </row>
    <row r="1635" hidden="1">
      <c r="K1635" s="2"/>
    </row>
    <row r="1636" hidden="1">
      <c r="K1636" s="2"/>
    </row>
    <row r="1637" hidden="1">
      <c r="K1637" s="2"/>
    </row>
    <row r="1638" hidden="1">
      <c r="K1638" s="2"/>
    </row>
    <row r="1639" hidden="1">
      <c r="K1639" s="2"/>
    </row>
    <row r="1640" hidden="1">
      <c r="K1640" s="2"/>
    </row>
    <row r="1641" hidden="1">
      <c r="K1641" s="2"/>
    </row>
    <row r="1642" hidden="1">
      <c r="K1642" s="2"/>
    </row>
    <row r="1643" hidden="1">
      <c r="K1643" s="2"/>
    </row>
    <row r="1644" hidden="1">
      <c r="K1644" s="2"/>
    </row>
    <row r="1645" hidden="1">
      <c r="K1645" s="2"/>
    </row>
    <row r="1646" hidden="1">
      <c r="K1646" s="2"/>
    </row>
    <row r="1647" hidden="1">
      <c r="K1647" s="2"/>
    </row>
    <row r="1648" hidden="1">
      <c r="K1648" s="2"/>
    </row>
    <row r="1649" hidden="1">
      <c r="K1649" s="2"/>
    </row>
    <row r="1650" hidden="1">
      <c r="K1650" s="2"/>
    </row>
    <row r="1651" hidden="1">
      <c r="K1651" s="2"/>
    </row>
    <row r="1652" hidden="1">
      <c r="K1652" s="2"/>
    </row>
    <row r="1653" hidden="1">
      <c r="K1653" s="2"/>
    </row>
    <row r="1654" hidden="1">
      <c r="K1654" s="2"/>
    </row>
    <row r="1655" hidden="1">
      <c r="K1655" s="2"/>
    </row>
    <row r="1656" hidden="1">
      <c r="K1656" s="2"/>
    </row>
    <row r="1657" hidden="1">
      <c r="K1657" s="2"/>
    </row>
    <row r="1658" hidden="1">
      <c r="K1658" s="2"/>
    </row>
    <row r="1659" hidden="1">
      <c r="K1659" s="2"/>
    </row>
    <row r="1660" hidden="1">
      <c r="K1660" s="2"/>
    </row>
    <row r="1661" hidden="1">
      <c r="K1661" s="2"/>
    </row>
    <row r="1662" hidden="1">
      <c r="K1662" s="2"/>
    </row>
    <row r="1663" hidden="1">
      <c r="K1663" s="2"/>
    </row>
    <row r="1664" hidden="1">
      <c r="K1664" s="2"/>
    </row>
    <row r="1665" hidden="1">
      <c r="K1665" s="2"/>
    </row>
    <row r="1666" hidden="1">
      <c r="K1666" s="2"/>
    </row>
    <row r="1667" hidden="1">
      <c r="K1667" s="2"/>
    </row>
    <row r="1668" hidden="1">
      <c r="K1668" s="2"/>
    </row>
    <row r="1669" hidden="1">
      <c r="K1669" s="2"/>
    </row>
    <row r="1670" hidden="1">
      <c r="K1670" s="2"/>
    </row>
    <row r="1671" hidden="1">
      <c r="K1671" s="2"/>
    </row>
    <row r="1672" hidden="1">
      <c r="K1672" s="2"/>
    </row>
    <row r="1673" hidden="1">
      <c r="K1673" s="2"/>
    </row>
    <row r="1674" hidden="1">
      <c r="K1674" s="2"/>
    </row>
    <row r="1675" hidden="1">
      <c r="K1675" s="2"/>
    </row>
    <row r="1676" hidden="1">
      <c r="K1676" s="2"/>
    </row>
    <row r="1677" hidden="1">
      <c r="K1677" s="2"/>
    </row>
    <row r="1678" hidden="1">
      <c r="K1678" s="2"/>
    </row>
    <row r="1679" hidden="1">
      <c r="K1679" s="2"/>
    </row>
    <row r="1680" hidden="1">
      <c r="K1680" s="2"/>
    </row>
    <row r="1681" hidden="1">
      <c r="K1681" s="2"/>
    </row>
    <row r="1682" hidden="1">
      <c r="K1682" s="2"/>
    </row>
    <row r="1683" hidden="1">
      <c r="K1683" s="2"/>
    </row>
    <row r="1684" hidden="1">
      <c r="K1684" s="2"/>
    </row>
    <row r="1685" hidden="1">
      <c r="K1685" s="2"/>
    </row>
    <row r="1686" hidden="1">
      <c r="K1686" s="2"/>
    </row>
    <row r="1687" hidden="1">
      <c r="K1687" s="2"/>
    </row>
    <row r="1688" hidden="1">
      <c r="K1688" s="2"/>
    </row>
    <row r="1689" hidden="1">
      <c r="K1689" s="2"/>
    </row>
    <row r="1690" hidden="1">
      <c r="K1690" s="2"/>
    </row>
    <row r="1691" hidden="1">
      <c r="K1691" s="2"/>
    </row>
    <row r="1692" hidden="1">
      <c r="K1692" s="2"/>
    </row>
    <row r="1693" hidden="1">
      <c r="K1693" s="2"/>
    </row>
    <row r="1694" hidden="1">
      <c r="K1694" s="2"/>
    </row>
    <row r="1695" hidden="1">
      <c r="K1695" s="2"/>
    </row>
    <row r="1696" hidden="1">
      <c r="K1696" s="2"/>
    </row>
    <row r="1697" hidden="1">
      <c r="K1697" s="2"/>
    </row>
    <row r="1698" hidden="1">
      <c r="K1698" s="2"/>
    </row>
    <row r="1699" hidden="1">
      <c r="K1699" s="2"/>
    </row>
    <row r="1700" hidden="1">
      <c r="K1700" s="2"/>
    </row>
    <row r="1701" hidden="1">
      <c r="K1701" s="2"/>
    </row>
    <row r="1702" hidden="1">
      <c r="K1702" s="2"/>
    </row>
    <row r="1703" hidden="1">
      <c r="K1703" s="2"/>
    </row>
    <row r="1704" hidden="1">
      <c r="K1704" s="2"/>
    </row>
    <row r="1705" hidden="1">
      <c r="K1705" s="2"/>
    </row>
    <row r="1706" hidden="1">
      <c r="K1706" s="2"/>
    </row>
    <row r="1707" hidden="1">
      <c r="K1707" s="2"/>
    </row>
    <row r="1708" hidden="1">
      <c r="K1708" s="2"/>
    </row>
    <row r="1709" hidden="1">
      <c r="K1709" s="2"/>
    </row>
    <row r="1710" hidden="1">
      <c r="K1710" s="2"/>
    </row>
    <row r="1711" hidden="1">
      <c r="K1711" s="2"/>
    </row>
    <row r="1712" hidden="1">
      <c r="K1712" s="2"/>
    </row>
    <row r="1713" hidden="1">
      <c r="K1713" s="2"/>
    </row>
    <row r="1714" hidden="1">
      <c r="K1714" s="2"/>
    </row>
    <row r="1715" hidden="1">
      <c r="K1715" s="2"/>
    </row>
    <row r="1716" hidden="1">
      <c r="K1716" s="2"/>
    </row>
    <row r="1717" hidden="1">
      <c r="K1717" s="2"/>
    </row>
    <row r="1718" hidden="1">
      <c r="K1718" s="2"/>
    </row>
    <row r="1719" hidden="1">
      <c r="K1719" s="2"/>
    </row>
    <row r="1720" hidden="1">
      <c r="K1720" s="2"/>
    </row>
    <row r="1721" hidden="1">
      <c r="K1721" s="2"/>
    </row>
    <row r="1722" hidden="1">
      <c r="K1722" s="2"/>
    </row>
    <row r="1723" hidden="1">
      <c r="K1723" s="2"/>
    </row>
    <row r="1724" hidden="1">
      <c r="K1724" s="2"/>
    </row>
    <row r="1725" hidden="1">
      <c r="K1725" s="2"/>
    </row>
    <row r="1726" hidden="1">
      <c r="K1726" s="2"/>
    </row>
    <row r="1727" hidden="1">
      <c r="K1727" s="2"/>
    </row>
    <row r="1728" hidden="1">
      <c r="K1728" s="2"/>
    </row>
    <row r="1729" hidden="1">
      <c r="K1729" s="2"/>
    </row>
    <row r="1730" hidden="1">
      <c r="K1730" s="2"/>
    </row>
    <row r="1731" hidden="1">
      <c r="K1731" s="2"/>
    </row>
    <row r="1732" hidden="1">
      <c r="K1732" s="2"/>
    </row>
    <row r="1733" hidden="1">
      <c r="K1733" s="2"/>
    </row>
    <row r="1734" hidden="1">
      <c r="K1734" s="2"/>
    </row>
    <row r="1735" hidden="1">
      <c r="K1735" s="2"/>
    </row>
    <row r="1736" hidden="1">
      <c r="K1736" s="2"/>
    </row>
    <row r="1737" hidden="1">
      <c r="K1737" s="2"/>
    </row>
    <row r="1738" hidden="1">
      <c r="K1738" s="2"/>
    </row>
    <row r="1739" hidden="1">
      <c r="K1739" s="2"/>
    </row>
    <row r="1740" hidden="1">
      <c r="K1740" s="2"/>
    </row>
    <row r="1741" hidden="1">
      <c r="K1741" s="2"/>
    </row>
    <row r="1742" hidden="1">
      <c r="K1742" s="2"/>
    </row>
    <row r="1743" hidden="1">
      <c r="K1743" s="2"/>
    </row>
    <row r="1744" hidden="1">
      <c r="K1744" s="2"/>
    </row>
    <row r="1745" hidden="1">
      <c r="K1745" s="2"/>
    </row>
    <row r="1746" hidden="1">
      <c r="K1746" s="2"/>
    </row>
    <row r="1747" hidden="1">
      <c r="K1747" s="2"/>
    </row>
    <row r="1748" hidden="1">
      <c r="K1748" s="2"/>
    </row>
    <row r="1749" hidden="1">
      <c r="K1749" s="2"/>
    </row>
    <row r="1750" hidden="1">
      <c r="K1750" s="2"/>
    </row>
    <row r="1751" hidden="1">
      <c r="K1751" s="2"/>
    </row>
    <row r="1752" hidden="1">
      <c r="K1752" s="2"/>
    </row>
    <row r="1753" hidden="1">
      <c r="K1753" s="2"/>
    </row>
    <row r="1754" hidden="1">
      <c r="K1754" s="2"/>
    </row>
    <row r="1755" hidden="1">
      <c r="K1755" s="2"/>
    </row>
    <row r="1756" hidden="1">
      <c r="K1756" s="2"/>
    </row>
    <row r="1757" hidden="1">
      <c r="K1757" s="2"/>
    </row>
    <row r="1758" hidden="1">
      <c r="K1758" s="2"/>
    </row>
    <row r="1759" hidden="1">
      <c r="K1759" s="2"/>
    </row>
    <row r="1760" hidden="1">
      <c r="K1760" s="2"/>
    </row>
    <row r="1761" hidden="1">
      <c r="K1761" s="2"/>
    </row>
    <row r="1762" hidden="1">
      <c r="K1762" s="2"/>
    </row>
    <row r="1763" hidden="1">
      <c r="K1763" s="2"/>
    </row>
    <row r="1764" hidden="1">
      <c r="K1764" s="2"/>
    </row>
    <row r="1765" hidden="1">
      <c r="K1765" s="2"/>
    </row>
    <row r="1766" hidden="1">
      <c r="K1766" s="2"/>
    </row>
    <row r="1767" hidden="1">
      <c r="K1767" s="2"/>
    </row>
    <row r="1768" hidden="1">
      <c r="K1768" s="2"/>
    </row>
    <row r="1769" hidden="1">
      <c r="K1769" s="2"/>
    </row>
    <row r="1770" hidden="1">
      <c r="K1770" s="2"/>
    </row>
    <row r="1771" hidden="1">
      <c r="K1771" s="2"/>
    </row>
    <row r="1772" hidden="1">
      <c r="K1772" s="2"/>
    </row>
    <row r="1773" hidden="1">
      <c r="K1773" s="2"/>
    </row>
    <row r="1774" hidden="1">
      <c r="K1774" s="2"/>
    </row>
    <row r="1775" hidden="1">
      <c r="K1775" s="2"/>
    </row>
    <row r="1776" hidden="1">
      <c r="K1776" s="2"/>
    </row>
    <row r="1777" hidden="1">
      <c r="K1777" s="2"/>
    </row>
    <row r="1778" hidden="1">
      <c r="K1778" s="2"/>
    </row>
    <row r="1779" hidden="1">
      <c r="K1779" s="2"/>
    </row>
    <row r="1780" hidden="1">
      <c r="K1780" s="2"/>
    </row>
    <row r="1781" hidden="1">
      <c r="K1781" s="2"/>
    </row>
    <row r="1782" hidden="1">
      <c r="K1782" s="2"/>
    </row>
    <row r="1783" hidden="1">
      <c r="K1783" s="2"/>
    </row>
    <row r="1784" hidden="1">
      <c r="K1784" s="2"/>
    </row>
    <row r="1785" hidden="1">
      <c r="K1785" s="2"/>
    </row>
    <row r="1786" hidden="1">
      <c r="K1786" s="2"/>
    </row>
    <row r="1787" hidden="1">
      <c r="K1787" s="2"/>
    </row>
    <row r="1788" hidden="1">
      <c r="K1788" s="2"/>
    </row>
    <row r="1789" hidden="1">
      <c r="K1789" s="2"/>
    </row>
    <row r="1790" hidden="1">
      <c r="K1790" s="2"/>
    </row>
    <row r="1791" hidden="1">
      <c r="K1791" s="2"/>
    </row>
    <row r="1792" hidden="1">
      <c r="K1792" s="2"/>
    </row>
    <row r="1793" hidden="1">
      <c r="K1793" s="2"/>
    </row>
    <row r="1794" hidden="1">
      <c r="K1794" s="2"/>
    </row>
    <row r="1795" hidden="1">
      <c r="K1795" s="2"/>
    </row>
    <row r="1796" hidden="1">
      <c r="K1796" s="2"/>
    </row>
    <row r="1797" hidden="1">
      <c r="K1797" s="2"/>
    </row>
    <row r="1798" hidden="1">
      <c r="K1798" s="2"/>
    </row>
    <row r="1799" hidden="1">
      <c r="K1799" s="2"/>
    </row>
    <row r="1800" hidden="1">
      <c r="K1800" s="2"/>
    </row>
    <row r="1801" hidden="1">
      <c r="K1801" s="2"/>
    </row>
    <row r="1802" hidden="1">
      <c r="K1802" s="2"/>
    </row>
    <row r="1803" hidden="1">
      <c r="K1803" s="2"/>
    </row>
    <row r="1804" hidden="1">
      <c r="K1804" s="2"/>
    </row>
    <row r="1805" hidden="1">
      <c r="K1805" s="2"/>
    </row>
    <row r="1806" hidden="1">
      <c r="K1806" s="2"/>
    </row>
    <row r="1807" hidden="1">
      <c r="K1807" s="2"/>
    </row>
    <row r="1808" hidden="1">
      <c r="K1808" s="2"/>
    </row>
    <row r="1809" hidden="1">
      <c r="K1809" s="2"/>
    </row>
    <row r="1810" hidden="1">
      <c r="K1810" s="2"/>
    </row>
    <row r="1811" hidden="1">
      <c r="K1811" s="2"/>
    </row>
    <row r="1812" hidden="1">
      <c r="K1812" s="2"/>
    </row>
    <row r="1813" hidden="1">
      <c r="K1813" s="2"/>
    </row>
    <row r="1814" hidden="1">
      <c r="K1814" s="2"/>
    </row>
    <row r="1815" hidden="1">
      <c r="K1815" s="2"/>
    </row>
    <row r="1816" hidden="1">
      <c r="K1816" s="2"/>
    </row>
    <row r="1817" hidden="1">
      <c r="K1817" s="2"/>
    </row>
    <row r="1818" hidden="1">
      <c r="K1818" s="2"/>
    </row>
    <row r="1819" hidden="1">
      <c r="K1819" s="2"/>
    </row>
    <row r="1820" hidden="1">
      <c r="K1820" s="2"/>
    </row>
    <row r="1821" hidden="1">
      <c r="K1821" s="2"/>
    </row>
    <row r="1822" hidden="1">
      <c r="K1822" s="2"/>
    </row>
    <row r="1823" hidden="1">
      <c r="K1823" s="2"/>
    </row>
    <row r="1824" hidden="1">
      <c r="K1824" s="2"/>
    </row>
    <row r="1825" hidden="1">
      <c r="K1825" s="2"/>
    </row>
    <row r="1826" hidden="1">
      <c r="K1826" s="2"/>
    </row>
    <row r="1827" hidden="1">
      <c r="K1827" s="2"/>
    </row>
    <row r="1828" hidden="1">
      <c r="K1828" s="2"/>
    </row>
    <row r="1829" hidden="1">
      <c r="K1829" s="2"/>
    </row>
    <row r="1830" hidden="1">
      <c r="K1830" s="2"/>
    </row>
    <row r="1831" hidden="1">
      <c r="K1831" s="2"/>
    </row>
    <row r="1832" hidden="1">
      <c r="K1832" s="2"/>
    </row>
    <row r="1833" hidden="1">
      <c r="K1833" s="2"/>
    </row>
    <row r="1834" hidden="1">
      <c r="K1834" s="2"/>
    </row>
    <row r="1835" hidden="1">
      <c r="K1835" s="2"/>
    </row>
    <row r="1836" hidden="1">
      <c r="K1836" s="2"/>
    </row>
    <row r="1837" hidden="1">
      <c r="K1837" s="2"/>
    </row>
    <row r="1838" hidden="1">
      <c r="K1838" s="2"/>
    </row>
    <row r="1839" hidden="1">
      <c r="K1839" s="2"/>
    </row>
    <row r="1840" hidden="1">
      <c r="K1840" s="2"/>
    </row>
    <row r="1841" hidden="1">
      <c r="K1841" s="2"/>
    </row>
    <row r="1842" hidden="1">
      <c r="K1842" s="2"/>
    </row>
    <row r="1843" hidden="1">
      <c r="K1843" s="2"/>
    </row>
    <row r="1844" hidden="1">
      <c r="K1844" s="2"/>
    </row>
    <row r="1845" hidden="1">
      <c r="K1845" s="2"/>
    </row>
    <row r="1846" hidden="1">
      <c r="K1846" s="2"/>
    </row>
    <row r="1847" hidden="1">
      <c r="K1847" s="2"/>
    </row>
    <row r="1848" hidden="1">
      <c r="K1848" s="2"/>
    </row>
    <row r="1849" hidden="1">
      <c r="K1849" s="2"/>
    </row>
    <row r="1850" hidden="1">
      <c r="K1850" s="2"/>
    </row>
    <row r="1851" hidden="1">
      <c r="K1851" s="2"/>
    </row>
    <row r="1852" hidden="1">
      <c r="K1852" s="2"/>
    </row>
    <row r="1853" hidden="1">
      <c r="K1853" s="2"/>
    </row>
    <row r="1854" hidden="1">
      <c r="K1854" s="2"/>
    </row>
    <row r="1855" hidden="1">
      <c r="K1855" s="2"/>
    </row>
    <row r="1856" hidden="1">
      <c r="K1856" s="2"/>
    </row>
    <row r="1857" hidden="1">
      <c r="K1857" s="2"/>
    </row>
    <row r="1858" hidden="1">
      <c r="K1858" s="2"/>
    </row>
    <row r="1859" hidden="1">
      <c r="K1859" s="2"/>
    </row>
    <row r="1860" hidden="1">
      <c r="K1860" s="2"/>
    </row>
    <row r="1861" hidden="1">
      <c r="K1861" s="2"/>
    </row>
    <row r="1862" hidden="1">
      <c r="K1862" s="2"/>
    </row>
    <row r="1863" hidden="1">
      <c r="K1863" s="2"/>
    </row>
    <row r="1864" hidden="1">
      <c r="K1864" s="2"/>
    </row>
    <row r="1865" hidden="1">
      <c r="K1865" s="2"/>
    </row>
    <row r="1866" hidden="1">
      <c r="K1866" s="2"/>
    </row>
    <row r="1867" hidden="1">
      <c r="K1867" s="2"/>
    </row>
    <row r="1868" hidden="1">
      <c r="K1868" s="2"/>
    </row>
    <row r="1869" hidden="1">
      <c r="K1869" s="2"/>
    </row>
    <row r="1870" hidden="1">
      <c r="K1870" s="2"/>
    </row>
    <row r="1871" hidden="1">
      <c r="K1871" s="2"/>
    </row>
    <row r="1872" hidden="1">
      <c r="K1872" s="2"/>
    </row>
    <row r="1873" hidden="1">
      <c r="K1873" s="2"/>
    </row>
    <row r="1874" hidden="1">
      <c r="K1874" s="2"/>
    </row>
    <row r="1875" hidden="1">
      <c r="K1875" s="2"/>
    </row>
    <row r="1876" hidden="1">
      <c r="K1876" s="2"/>
    </row>
    <row r="1877" hidden="1">
      <c r="K1877" s="2"/>
    </row>
    <row r="1878" hidden="1">
      <c r="K1878" s="2"/>
    </row>
    <row r="1879" hidden="1">
      <c r="K1879" s="2"/>
    </row>
    <row r="1880" hidden="1">
      <c r="K1880" s="2"/>
    </row>
    <row r="1881" hidden="1">
      <c r="K1881" s="2"/>
    </row>
    <row r="1882" hidden="1">
      <c r="K1882" s="2"/>
    </row>
    <row r="1883" hidden="1">
      <c r="K1883" s="2"/>
    </row>
    <row r="1884" hidden="1">
      <c r="K1884" s="2"/>
    </row>
    <row r="1885" hidden="1">
      <c r="K1885" s="2"/>
    </row>
    <row r="1886" hidden="1">
      <c r="K1886" s="2"/>
    </row>
    <row r="1887" hidden="1">
      <c r="K1887" s="2"/>
    </row>
    <row r="1888" hidden="1">
      <c r="K1888" s="2"/>
    </row>
    <row r="1889" hidden="1">
      <c r="K1889" s="2"/>
    </row>
    <row r="1890" hidden="1">
      <c r="K1890" s="2"/>
    </row>
    <row r="1891" hidden="1">
      <c r="K1891" s="2"/>
    </row>
    <row r="1892" hidden="1">
      <c r="K1892" s="2"/>
    </row>
    <row r="1893" hidden="1">
      <c r="K1893" s="2"/>
    </row>
    <row r="1894" hidden="1">
      <c r="K1894" s="2"/>
    </row>
    <row r="1895" hidden="1">
      <c r="K1895" s="2"/>
    </row>
    <row r="1896" hidden="1">
      <c r="K1896" s="2"/>
    </row>
    <row r="1897" hidden="1">
      <c r="K1897" s="2"/>
    </row>
    <row r="1898" hidden="1">
      <c r="K1898" s="2"/>
    </row>
    <row r="1899" hidden="1">
      <c r="K1899" s="2"/>
    </row>
    <row r="1900" hidden="1">
      <c r="K1900" s="2"/>
    </row>
    <row r="1901" hidden="1">
      <c r="K1901" s="2"/>
    </row>
    <row r="1902" hidden="1">
      <c r="K1902" s="2"/>
    </row>
    <row r="1903" hidden="1">
      <c r="K1903" s="2"/>
    </row>
    <row r="1904" hidden="1">
      <c r="K1904" s="2"/>
    </row>
    <row r="1905" hidden="1">
      <c r="K1905" s="2"/>
    </row>
    <row r="1906" hidden="1">
      <c r="K1906" s="2"/>
    </row>
    <row r="1907" hidden="1">
      <c r="K1907" s="2"/>
    </row>
    <row r="1908" hidden="1">
      <c r="K1908" s="2"/>
    </row>
    <row r="1909" hidden="1">
      <c r="K1909" s="2"/>
    </row>
    <row r="1910" hidden="1">
      <c r="K1910" s="2"/>
    </row>
    <row r="1911" hidden="1">
      <c r="K1911" s="2"/>
    </row>
    <row r="1912" hidden="1">
      <c r="K1912" s="2"/>
    </row>
    <row r="1913" hidden="1">
      <c r="K1913" s="2"/>
    </row>
    <row r="1914" hidden="1">
      <c r="K1914" s="2"/>
    </row>
    <row r="1915" hidden="1">
      <c r="K1915" s="2"/>
    </row>
    <row r="1916" hidden="1">
      <c r="K1916" s="2"/>
    </row>
    <row r="1917" hidden="1">
      <c r="K1917" s="2"/>
    </row>
    <row r="1918" hidden="1">
      <c r="K1918" s="2"/>
    </row>
    <row r="1919" hidden="1">
      <c r="K1919" s="2"/>
    </row>
    <row r="1920" hidden="1">
      <c r="K1920" s="2"/>
    </row>
    <row r="1921" hidden="1">
      <c r="K1921" s="2"/>
    </row>
    <row r="1922" hidden="1">
      <c r="K1922" s="2"/>
    </row>
    <row r="1923" hidden="1">
      <c r="K1923" s="2"/>
    </row>
    <row r="1924" hidden="1">
      <c r="K1924" s="2"/>
    </row>
    <row r="1925" hidden="1">
      <c r="K1925" s="2"/>
    </row>
    <row r="1926" hidden="1">
      <c r="K1926" s="2"/>
    </row>
    <row r="1927" hidden="1">
      <c r="K1927" s="2"/>
    </row>
    <row r="1928" hidden="1">
      <c r="K1928" s="2"/>
    </row>
    <row r="1929" hidden="1">
      <c r="K1929" s="2"/>
    </row>
    <row r="1930" hidden="1">
      <c r="K1930" s="2"/>
    </row>
    <row r="1931" hidden="1">
      <c r="K1931" s="2"/>
    </row>
    <row r="1932" hidden="1">
      <c r="K1932" s="2"/>
    </row>
    <row r="1933" hidden="1">
      <c r="K1933" s="2"/>
    </row>
    <row r="1934" hidden="1">
      <c r="K1934" s="2"/>
    </row>
    <row r="1935" hidden="1">
      <c r="K1935" s="2"/>
    </row>
    <row r="1936" hidden="1">
      <c r="K1936" s="2"/>
    </row>
    <row r="1937" hidden="1">
      <c r="K1937" s="2"/>
    </row>
    <row r="1938" hidden="1">
      <c r="K1938" s="2"/>
    </row>
    <row r="1939" hidden="1">
      <c r="K1939" s="2"/>
    </row>
    <row r="1940" hidden="1">
      <c r="K1940" s="2"/>
    </row>
    <row r="1941" hidden="1">
      <c r="K1941" s="2"/>
    </row>
    <row r="1942" hidden="1">
      <c r="K1942" s="2"/>
    </row>
    <row r="1943" hidden="1">
      <c r="K1943" s="2"/>
    </row>
    <row r="1944" hidden="1">
      <c r="K1944" s="2"/>
    </row>
    <row r="1945" hidden="1">
      <c r="K1945" s="2"/>
    </row>
    <row r="1946" hidden="1">
      <c r="K1946" s="2"/>
    </row>
    <row r="1947" hidden="1">
      <c r="K1947" s="2"/>
    </row>
    <row r="1948" hidden="1">
      <c r="K1948" s="2"/>
    </row>
    <row r="1949" hidden="1">
      <c r="K1949" s="2"/>
    </row>
    <row r="1950" hidden="1">
      <c r="K1950" s="2"/>
    </row>
    <row r="1951" hidden="1">
      <c r="K1951" s="2"/>
    </row>
    <row r="1952" hidden="1">
      <c r="K1952" s="2"/>
    </row>
    <row r="1953" hidden="1">
      <c r="K1953" s="2"/>
    </row>
    <row r="1954" hidden="1">
      <c r="K1954" s="2"/>
    </row>
    <row r="1955" hidden="1">
      <c r="K1955" s="2"/>
    </row>
    <row r="1956" hidden="1">
      <c r="K1956" s="2"/>
    </row>
    <row r="1957" hidden="1">
      <c r="K1957" s="2"/>
    </row>
    <row r="1958" hidden="1">
      <c r="K1958" s="2"/>
    </row>
    <row r="1959" hidden="1">
      <c r="K1959" s="2"/>
    </row>
    <row r="1960" hidden="1">
      <c r="K1960" s="2"/>
    </row>
    <row r="1961" hidden="1">
      <c r="K1961" s="2"/>
    </row>
    <row r="1962" hidden="1">
      <c r="K1962" s="2"/>
    </row>
    <row r="1963" hidden="1">
      <c r="K1963" s="2"/>
    </row>
    <row r="1964" hidden="1">
      <c r="K1964" s="2"/>
    </row>
    <row r="1965" hidden="1">
      <c r="K1965" s="2"/>
    </row>
    <row r="1966" hidden="1">
      <c r="K1966" s="2"/>
    </row>
    <row r="1967" hidden="1">
      <c r="K1967" s="2"/>
    </row>
  </sheetData>
  <mergeCells count="4">
    <mergeCell ref="A1:K1"/>
    <mergeCell ref="B2:C2"/>
    <mergeCell ref="B3:C3"/>
    <mergeCell ref="B4:C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3" max="3" width="22.13"/>
    <col customWidth="1" min="4" max="4" width="21.63"/>
    <col customWidth="1" min="5" max="6" width="19.25"/>
    <col customWidth="1" min="7" max="7" width="16.25"/>
    <col customWidth="1" min="8" max="8" width="21.38"/>
    <col customWidth="1" min="9" max="9" width="24.13"/>
    <col customWidth="1" min="10" max="10" width="3.5"/>
    <col customWidth="1" min="11" max="11" width="7.13"/>
    <col customWidth="1" hidden="1" min="12" max="12" width="19.75"/>
    <col hidden="1" min="13" max="26" width="12.63"/>
  </cols>
  <sheetData>
    <row r="1" ht="54.0" customHeight="1">
      <c r="A1" s="1" t="s">
        <v>179</v>
      </c>
    </row>
    <row r="2" ht="18.0" customHeight="1">
      <c r="A2" s="2"/>
      <c r="B2" s="3" t="s">
        <v>178</v>
      </c>
      <c r="D2" s="4" t="s">
        <v>2</v>
      </c>
      <c r="E2" s="5"/>
      <c r="F2" s="5"/>
      <c r="G2" s="2"/>
      <c r="H2" s="6"/>
      <c r="I2" s="6"/>
      <c r="J2" s="6"/>
      <c r="K2" s="7"/>
      <c r="L2" s="7"/>
    </row>
    <row r="3" ht="15.75" customHeight="1">
      <c r="A3" s="2"/>
      <c r="B3" s="8" t="s">
        <v>3</v>
      </c>
      <c r="D3" s="4" t="s">
        <v>4</v>
      </c>
      <c r="E3" s="5"/>
      <c r="F3" s="5"/>
      <c r="G3" s="2"/>
      <c r="H3" s="6"/>
      <c r="I3" s="6"/>
      <c r="J3" s="6"/>
      <c r="K3" s="10"/>
      <c r="L3" s="10"/>
    </row>
    <row r="4">
      <c r="A4" s="2"/>
      <c r="B4" s="8" t="s">
        <v>5</v>
      </c>
      <c r="D4" s="11" t="s">
        <v>6</v>
      </c>
      <c r="E4" s="12"/>
      <c r="F4" s="12"/>
      <c r="G4" s="2"/>
      <c r="H4" s="2"/>
      <c r="I4" s="2"/>
      <c r="J4" s="2"/>
      <c r="K4" s="2"/>
    </row>
    <row r="5" ht="1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20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</row>
    <row r="8" ht="29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33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25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6.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N55" s="59"/>
      <c r="O55" s="59"/>
      <c r="P55" s="59"/>
      <c r="Q55" s="59"/>
      <c r="R55" s="59"/>
      <c r="S55" s="59"/>
    </row>
    <row r="56" ht="16.5" customHeight="1">
      <c r="A56" s="2"/>
      <c r="B56" s="2"/>
      <c r="C56" s="2"/>
      <c r="D56" s="2"/>
      <c r="E56" s="2"/>
      <c r="F56" s="2"/>
      <c r="G56" s="2"/>
      <c r="H56" s="2"/>
      <c r="K56" s="2"/>
      <c r="N56" s="59"/>
      <c r="O56" s="59"/>
      <c r="P56" s="59"/>
      <c r="Q56" s="59"/>
      <c r="R56" s="59"/>
      <c r="S56" s="59"/>
    </row>
    <row r="57">
      <c r="A57" s="2"/>
      <c r="B57" s="2"/>
      <c r="C57" s="2"/>
      <c r="D57" s="2"/>
      <c r="E57" s="2"/>
      <c r="F57" s="2"/>
      <c r="G57" s="2"/>
      <c r="H57" s="2"/>
      <c r="K57" s="2"/>
      <c r="N57" s="59"/>
      <c r="O57" s="59"/>
      <c r="P57" s="59"/>
      <c r="Q57" s="59"/>
      <c r="R57" s="59"/>
      <c r="S57" s="59"/>
    </row>
    <row r="58">
      <c r="A58" s="2"/>
      <c r="B58" s="2"/>
      <c r="C58" s="2"/>
      <c r="D58" s="2"/>
      <c r="E58" s="2"/>
      <c r="F58" s="2"/>
      <c r="G58" s="2"/>
      <c r="H58" s="2"/>
      <c r="K58" s="2"/>
      <c r="R58" s="59"/>
      <c r="S58" s="59"/>
    </row>
    <row r="59">
      <c r="A59" s="2"/>
      <c r="B59" s="2"/>
      <c r="C59" s="2"/>
      <c r="D59" s="2"/>
      <c r="E59" s="2"/>
      <c r="F59" s="2"/>
      <c r="G59" s="2"/>
      <c r="H59" s="2"/>
      <c r="K59" s="2"/>
      <c r="R59" s="59"/>
      <c r="S59" s="59"/>
    </row>
    <row r="60">
      <c r="A60" s="2"/>
      <c r="B60" s="2"/>
      <c r="C60" s="2"/>
      <c r="D60" s="2"/>
      <c r="E60" s="2"/>
      <c r="F60" s="2"/>
      <c r="G60" s="2"/>
      <c r="H60" s="2"/>
      <c r="K60" s="2"/>
      <c r="R60" s="59"/>
      <c r="S60" s="59"/>
    </row>
    <row r="61">
      <c r="A61" s="2"/>
      <c r="B61" s="2"/>
      <c r="C61" s="2"/>
      <c r="D61" s="2"/>
      <c r="E61" s="2"/>
      <c r="F61" s="2"/>
      <c r="G61" s="2"/>
      <c r="H61" s="2"/>
      <c r="K61" s="2"/>
      <c r="R61" s="59"/>
      <c r="S61" s="59"/>
    </row>
    <row r="62">
      <c r="A62" s="2"/>
      <c r="B62" s="2"/>
      <c r="C62" s="2"/>
      <c r="D62" s="2"/>
      <c r="E62" s="2"/>
      <c r="F62" s="2"/>
      <c r="G62" s="2"/>
      <c r="H62" s="2"/>
      <c r="K62" s="2"/>
      <c r="R62" s="59"/>
      <c r="S62" s="59"/>
    </row>
    <row r="63">
      <c r="A63" s="2"/>
      <c r="B63" s="2"/>
      <c r="C63" s="2"/>
      <c r="D63" s="2"/>
      <c r="E63" s="2"/>
      <c r="F63" s="2"/>
      <c r="G63" s="2"/>
      <c r="H63" s="2"/>
      <c r="K63" s="2"/>
      <c r="R63" s="59"/>
      <c r="S63" s="59"/>
    </row>
    <row r="64">
      <c r="A64" s="2"/>
      <c r="B64" s="2"/>
      <c r="C64" s="2"/>
      <c r="D64" s="2"/>
      <c r="E64" s="2"/>
      <c r="F64" s="2"/>
      <c r="G64" s="2"/>
      <c r="H64" s="2"/>
      <c r="K64" s="2"/>
      <c r="R64" s="59"/>
      <c r="S64" s="59"/>
    </row>
    <row r="65">
      <c r="A65" s="2"/>
      <c r="B65" s="2"/>
      <c r="C65" s="2"/>
      <c r="D65" s="2"/>
      <c r="E65" s="2"/>
      <c r="F65" s="2"/>
      <c r="G65" s="2"/>
      <c r="H65" s="2"/>
      <c r="K65" s="2"/>
      <c r="R65" s="59"/>
      <c r="S65" s="59"/>
    </row>
    <row r="66">
      <c r="A66" s="2"/>
      <c r="B66" s="2"/>
      <c r="C66" s="2"/>
      <c r="D66" s="2"/>
      <c r="E66" s="2"/>
      <c r="F66" s="2"/>
      <c r="G66" s="2"/>
      <c r="H66" s="2"/>
      <c r="K66" s="2"/>
      <c r="R66" s="59"/>
      <c r="S66" s="59"/>
    </row>
    <row r="67">
      <c r="A67" s="2"/>
      <c r="B67" s="2"/>
      <c r="C67" s="2"/>
      <c r="D67" s="2"/>
      <c r="E67" s="2"/>
      <c r="F67" s="2"/>
      <c r="G67" s="2"/>
      <c r="H67" s="2"/>
      <c r="K67" s="2"/>
      <c r="R67" s="59"/>
      <c r="S67" s="59"/>
    </row>
    <row r="68">
      <c r="A68" s="2"/>
      <c r="B68" s="2"/>
      <c r="C68" s="2"/>
      <c r="D68" s="2"/>
      <c r="E68" s="2"/>
      <c r="F68" s="2"/>
      <c r="G68" s="2"/>
      <c r="H68" s="2"/>
      <c r="K68" s="2"/>
      <c r="R68" s="59"/>
      <c r="S68" s="59"/>
    </row>
    <row r="69">
      <c r="A69" s="2"/>
      <c r="B69" s="2"/>
      <c r="C69" s="2"/>
      <c r="D69" s="2"/>
      <c r="E69" s="2"/>
      <c r="F69" s="2"/>
      <c r="G69" s="2"/>
      <c r="H69" s="2"/>
      <c r="K69" s="2"/>
      <c r="R69" s="59"/>
      <c r="S69" s="59"/>
    </row>
    <row r="70">
      <c r="A70" s="2"/>
      <c r="B70" s="2"/>
      <c r="C70" s="2"/>
      <c r="D70" s="2"/>
      <c r="E70" s="2"/>
      <c r="F70" s="2"/>
      <c r="G70" s="2"/>
      <c r="H70" s="2"/>
      <c r="K70" s="2"/>
      <c r="R70" s="59"/>
      <c r="S70" s="59"/>
    </row>
    <row r="71">
      <c r="A71" s="2"/>
      <c r="B71" s="2"/>
      <c r="C71" s="2"/>
      <c r="D71" s="2"/>
      <c r="E71" s="2"/>
      <c r="F71" s="2"/>
      <c r="G71" s="2"/>
      <c r="H71" s="2"/>
      <c r="K71" s="2"/>
    </row>
    <row r="72">
      <c r="A72" s="2"/>
      <c r="B72" s="2"/>
      <c r="C72" s="2"/>
      <c r="D72" s="2"/>
      <c r="E72" s="2"/>
      <c r="F72" s="2"/>
      <c r="G72" s="2"/>
      <c r="H72" s="2"/>
      <c r="K72" s="2"/>
    </row>
    <row r="73">
      <c r="A73" s="2"/>
      <c r="B73" s="2"/>
      <c r="C73" s="2"/>
      <c r="D73" s="2"/>
      <c r="E73" s="2"/>
      <c r="F73" s="2"/>
      <c r="G73" s="2"/>
      <c r="H73" s="2"/>
      <c r="K73" s="2"/>
    </row>
    <row r="74">
      <c r="A74" s="2"/>
      <c r="B74" s="2"/>
      <c r="C74" s="2"/>
      <c r="D74" s="2"/>
      <c r="E74" s="2"/>
      <c r="F74" s="2"/>
      <c r="G74" s="2"/>
      <c r="H74" s="2"/>
      <c r="K74" s="2"/>
    </row>
    <row r="75">
      <c r="A75" s="2"/>
      <c r="B75" s="2"/>
      <c r="C75" s="2"/>
      <c r="D75" s="2"/>
      <c r="E75" s="2"/>
      <c r="F75" s="2"/>
      <c r="G75" s="2"/>
      <c r="H75" s="2"/>
      <c r="K75" s="2"/>
    </row>
    <row r="76">
      <c r="A76" s="2"/>
      <c r="B76" s="2"/>
      <c r="C76" s="2"/>
      <c r="D76" s="2"/>
      <c r="E76" s="2"/>
      <c r="F76" s="2"/>
      <c r="G76" s="2"/>
      <c r="H76" s="2"/>
      <c r="K76" s="2"/>
    </row>
    <row r="77">
      <c r="K77" s="2"/>
    </row>
    <row r="78">
      <c r="K78" s="2"/>
    </row>
    <row r="79">
      <c r="K79" s="2"/>
    </row>
    <row r="80">
      <c r="K80" s="2"/>
    </row>
    <row r="81">
      <c r="K81" s="2"/>
    </row>
    <row r="82">
      <c r="K82" s="2"/>
    </row>
    <row r="83">
      <c r="K83" s="2"/>
    </row>
    <row r="84">
      <c r="K84" s="2"/>
    </row>
    <row r="85">
      <c r="K85" s="2"/>
    </row>
    <row r="86">
      <c r="K86" s="2"/>
    </row>
    <row r="87">
      <c r="K87" s="2"/>
    </row>
    <row r="88">
      <c r="K88" s="2"/>
    </row>
    <row r="89">
      <c r="K89" s="2"/>
    </row>
    <row r="90">
      <c r="C90" s="60"/>
      <c r="K90" s="2"/>
    </row>
    <row r="91">
      <c r="K91" s="2"/>
    </row>
    <row r="92">
      <c r="K92" s="2"/>
    </row>
    <row r="93">
      <c r="K93" s="2"/>
    </row>
    <row r="94">
      <c r="K94" s="2"/>
    </row>
    <row r="95">
      <c r="K95" s="2"/>
    </row>
    <row r="96">
      <c r="K96" s="2"/>
    </row>
    <row r="97">
      <c r="K97" s="2"/>
    </row>
    <row r="98">
      <c r="K98" s="2"/>
    </row>
    <row r="99">
      <c r="K99" s="2"/>
    </row>
    <row r="100">
      <c r="K100" s="2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</row>
    <row r="102">
      <c r="K102" s="2"/>
    </row>
    <row r="103">
      <c r="K103" s="2"/>
    </row>
    <row r="104">
      <c r="K104" s="2"/>
    </row>
    <row r="105">
      <c r="K105" s="2"/>
    </row>
    <row r="106">
      <c r="K106" s="2"/>
    </row>
    <row r="107">
      <c r="K107" s="2"/>
    </row>
    <row r="108">
      <c r="K108" s="2"/>
    </row>
    <row r="109">
      <c r="K109" s="2"/>
    </row>
    <row r="110">
      <c r="K110" s="2"/>
    </row>
    <row r="111">
      <c r="K111" s="2"/>
    </row>
    <row r="112">
      <c r="K112" s="2"/>
    </row>
    <row r="113">
      <c r="K113" s="2"/>
    </row>
    <row r="114">
      <c r="K114" s="2"/>
    </row>
    <row r="115">
      <c r="K115" s="2"/>
    </row>
    <row r="116">
      <c r="K116" s="2"/>
    </row>
    <row r="117">
      <c r="K117" s="2"/>
    </row>
    <row r="118">
      <c r="K118" s="2"/>
    </row>
    <row r="119">
      <c r="K119" s="2"/>
    </row>
    <row r="120">
      <c r="K120" s="2"/>
    </row>
    <row r="121">
      <c r="K121" s="2"/>
    </row>
    <row r="122">
      <c r="K122" s="2"/>
    </row>
    <row r="123">
      <c r="K123" s="2"/>
    </row>
    <row r="124">
      <c r="K124" s="2"/>
    </row>
    <row r="125">
      <c r="K125" s="2"/>
    </row>
    <row r="126">
      <c r="K126" s="2"/>
    </row>
    <row r="127">
      <c r="K127" s="2"/>
    </row>
    <row r="128">
      <c r="K128" s="2"/>
    </row>
    <row r="129">
      <c r="K129" s="2"/>
    </row>
    <row r="130">
      <c r="K130" s="2"/>
    </row>
    <row r="131">
      <c r="K131" s="2"/>
    </row>
    <row r="132">
      <c r="K132" s="2"/>
    </row>
    <row r="133">
      <c r="K133" s="2"/>
    </row>
    <row r="134">
      <c r="K134" s="2"/>
    </row>
    <row r="135">
      <c r="K135" s="2"/>
    </row>
    <row r="136">
      <c r="K136" s="2"/>
    </row>
    <row r="137">
      <c r="K137" s="2"/>
    </row>
    <row r="138">
      <c r="K138" s="2"/>
    </row>
    <row r="139">
      <c r="K139" s="2"/>
    </row>
    <row r="140">
      <c r="K140" s="2"/>
    </row>
    <row r="141">
      <c r="K141" s="2"/>
    </row>
    <row r="142">
      <c r="K142" s="2"/>
    </row>
    <row r="143" ht="12.0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62"/>
      <c r="K143" s="58"/>
    </row>
    <row r="144">
      <c r="K144" s="2"/>
    </row>
    <row r="145">
      <c r="K145" s="2"/>
    </row>
    <row r="146">
      <c r="K146" s="2"/>
    </row>
    <row r="147">
      <c r="K147" s="2"/>
    </row>
    <row r="148">
      <c r="K148" s="2"/>
    </row>
    <row r="149">
      <c r="K149" s="2"/>
    </row>
    <row r="150">
      <c r="K150" s="2"/>
    </row>
    <row r="151">
      <c r="K151" s="2"/>
    </row>
    <row r="152">
      <c r="K152" s="2"/>
    </row>
    <row r="153">
      <c r="K153" s="2"/>
    </row>
    <row r="154">
      <c r="K154" s="2"/>
    </row>
    <row r="155">
      <c r="K155" s="2"/>
    </row>
    <row r="156">
      <c r="K156" s="2"/>
    </row>
    <row r="157">
      <c r="K157" s="2"/>
    </row>
    <row r="158">
      <c r="K158" s="2"/>
    </row>
    <row r="159">
      <c r="K159" s="2"/>
    </row>
    <row r="160">
      <c r="K160" s="2"/>
    </row>
    <row r="161">
      <c r="K161" s="2"/>
    </row>
    <row r="162">
      <c r="K162" s="2"/>
    </row>
    <row r="163">
      <c r="K163" s="2"/>
    </row>
    <row r="164">
      <c r="K164" s="2"/>
    </row>
    <row r="165">
      <c r="K165" s="2"/>
    </row>
    <row r="166">
      <c r="K166" s="2"/>
    </row>
    <row r="167">
      <c r="K167" s="2"/>
    </row>
    <row r="168">
      <c r="K168" s="2"/>
    </row>
    <row r="169">
      <c r="K169" s="2"/>
    </row>
    <row r="170">
      <c r="K170" s="2"/>
    </row>
    <row r="171">
      <c r="K171" s="2"/>
    </row>
    <row r="172">
      <c r="K172" s="2"/>
    </row>
    <row r="173">
      <c r="K173" s="2"/>
    </row>
    <row r="174">
      <c r="K174" s="2"/>
    </row>
    <row r="175">
      <c r="K175" s="2"/>
    </row>
    <row r="176">
      <c r="K176" s="2"/>
    </row>
    <row r="177">
      <c r="K177" s="2"/>
    </row>
    <row r="178">
      <c r="K178" s="2"/>
    </row>
    <row r="179">
      <c r="K179" s="2"/>
    </row>
    <row r="180">
      <c r="K180" s="2"/>
    </row>
    <row r="181">
      <c r="K181" s="2"/>
    </row>
    <row r="182">
      <c r="K182" s="2"/>
    </row>
    <row r="183">
      <c r="K183" s="2"/>
    </row>
    <row r="184">
      <c r="K184" s="2"/>
    </row>
    <row r="185">
      <c r="K185" s="2"/>
    </row>
    <row r="186">
      <c r="K186" s="2"/>
    </row>
    <row r="187">
      <c r="K187" s="2"/>
    </row>
    <row r="188">
      <c r="K188" s="2"/>
    </row>
    <row r="189">
      <c r="K189" s="2"/>
    </row>
    <row r="190">
      <c r="K190" s="2"/>
    </row>
    <row r="191">
      <c r="K191" s="2"/>
    </row>
    <row r="192">
      <c r="K192" s="2"/>
    </row>
    <row r="193">
      <c r="K193" s="2"/>
    </row>
    <row r="194">
      <c r="K194" s="2"/>
    </row>
    <row r="195">
      <c r="K195" s="2"/>
    </row>
    <row r="196">
      <c r="K196" s="2"/>
    </row>
    <row r="197">
      <c r="K197" s="2"/>
    </row>
    <row r="198">
      <c r="K198" s="2"/>
    </row>
    <row r="199">
      <c r="K199" s="2"/>
    </row>
    <row r="200">
      <c r="K200" s="2"/>
    </row>
    <row r="201">
      <c r="K201" s="2"/>
    </row>
    <row r="202">
      <c r="K202" s="2"/>
    </row>
    <row r="203">
      <c r="K203" s="2"/>
    </row>
    <row r="204">
      <c r="K204" s="2"/>
    </row>
    <row r="205">
      <c r="K205" s="2"/>
    </row>
    <row r="206">
      <c r="K206" s="2"/>
    </row>
    <row r="207">
      <c r="K207" s="2"/>
    </row>
    <row r="208" ht="244.5" customHeight="1">
      <c r="K208" s="2"/>
    </row>
    <row r="210">
      <c r="K210" s="2"/>
    </row>
    <row r="211">
      <c r="K211" s="2"/>
    </row>
    <row r="212">
      <c r="K212" s="2"/>
    </row>
    <row r="213">
      <c r="K213" s="2"/>
    </row>
    <row r="214">
      <c r="K214" s="2"/>
    </row>
    <row r="215">
      <c r="K215" s="2"/>
    </row>
    <row r="216">
      <c r="K216" s="2"/>
    </row>
    <row r="217">
      <c r="K217" s="2"/>
    </row>
    <row r="218">
      <c r="K218" s="2"/>
    </row>
    <row r="219">
      <c r="K219" s="2"/>
    </row>
    <row r="220">
      <c r="K220" s="2"/>
    </row>
    <row r="221">
      <c r="K221" s="2"/>
    </row>
    <row r="222">
      <c r="K222" s="2"/>
    </row>
    <row r="223">
      <c r="K223" s="2"/>
    </row>
    <row r="224">
      <c r="K224" s="2"/>
    </row>
    <row r="225">
      <c r="K225" s="2"/>
    </row>
    <row r="226">
      <c r="K226" s="2"/>
    </row>
    <row r="227">
      <c r="K227" s="2"/>
    </row>
    <row r="228">
      <c r="K228" s="2"/>
    </row>
    <row r="229">
      <c r="K229" s="2"/>
    </row>
    <row r="230">
      <c r="K230" s="2"/>
    </row>
    <row r="231">
      <c r="K231" s="2"/>
    </row>
    <row r="232">
      <c r="K232" s="2"/>
    </row>
    <row r="233">
      <c r="K233" s="2"/>
    </row>
    <row r="234">
      <c r="K234" s="2"/>
    </row>
    <row r="235">
      <c r="K235" s="2"/>
    </row>
    <row r="236">
      <c r="K236" s="2"/>
    </row>
    <row r="237">
      <c r="K237" s="2"/>
    </row>
    <row r="238">
      <c r="K238" s="2"/>
    </row>
    <row r="239">
      <c r="K239" s="2"/>
    </row>
    <row r="240">
      <c r="K240" s="2"/>
    </row>
    <row r="241">
      <c r="K241" s="2"/>
    </row>
    <row r="242">
      <c r="K242" s="2"/>
    </row>
    <row r="243">
      <c r="K243" s="2"/>
    </row>
    <row r="244" ht="142.5" customHeight="1">
      <c r="K244" s="2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</row>
    <row r="246">
      <c r="K246" s="2"/>
    </row>
    <row r="247">
      <c r="K247" s="2"/>
    </row>
    <row r="248">
      <c r="K248" s="2"/>
    </row>
    <row r="249">
      <c r="K249" s="2"/>
    </row>
    <row r="250">
      <c r="K250" s="2"/>
    </row>
    <row r="251">
      <c r="K251" s="2"/>
    </row>
    <row r="252">
      <c r="K252" s="2"/>
    </row>
    <row r="253">
      <c r="K253" s="2"/>
    </row>
    <row r="254">
      <c r="K254" s="2"/>
    </row>
    <row r="255">
      <c r="K255" s="2"/>
    </row>
    <row r="256">
      <c r="K256" s="2"/>
    </row>
    <row r="257">
      <c r="K257" s="2"/>
    </row>
    <row r="258">
      <c r="K258" s="2"/>
    </row>
    <row r="259">
      <c r="K259" s="2"/>
    </row>
    <row r="260">
      <c r="K260" s="2"/>
    </row>
    <row r="261">
      <c r="K261" s="2"/>
    </row>
    <row r="262">
      <c r="K262" s="2"/>
    </row>
    <row r="263">
      <c r="K263" s="2"/>
    </row>
    <row r="264">
      <c r="K264" s="2"/>
    </row>
    <row r="265">
      <c r="K265" s="2"/>
    </row>
    <row r="266">
      <c r="K266" s="2"/>
    </row>
    <row r="267">
      <c r="K267" s="2"/>
    </row>
    <row r="268">
      <c r="K268" s="2"/>
    </row>
    <row r="269">
      <c r="K269" s="2"/>
    </row>
    <row r="270">
      <c r="K270" s="2"/>
    </row>
    <row r="271">
      <c r="K271" s="2"/>
    </row>
    <row r="272">
      <c r="K272" s="2"/>
    </row>
    <row r="273">
      <c r="K273" s="2"/>
    </row>
    <row r="274">
      <c r="K274" s="2"/>
    </row>
    <row r="275">
      <c r="K275" s="2"/>
    </row>
    <row r="276">
      <c r="K276" s="2"/>
    </row>
    <row r="277">
      <c r="K277" s="2"/>
    </row>
    <row r="278">
      <c r="K278" s="2"/>
    </row>
    <row r="279">
      <c r="K279" s="2"/>
    </row>
    <row r="280">
      <c r="K280" s="2"/>
    </row>
    <row r="281">
      <c r="K281" s="2"/>
    </row>
    <row r="282">
      <c r="K282" s="2"/>
    </row>
    <row r="283">
      <c r="K283" s="2"/>
    </row>
    <row r="284">
      <c r="K284" s="2"/>
    </row>
    <row r="285">
      <c r="K285" s="2"/>
    </row>
    <row r="286">
      <c r="K286" s="2"/>
    </row>
    <row r="287">
      <c r="K287" s="2"/>
    </row>
    <row r="288">
      <c r="K288" s="2"/>
    </row>
    <row r="289">
      <c r="K289" s="2"/>
    </row>
    <row r="290">
      <c r="K290" s="2"/>
    </row>
    <row r="291">
      <c r="K291" s="2"/>
    </row>
    <row r="292">
      <c r="K292" s="2"/>
    </row>
    <row r="293">
      <c r="K293" s="2"/>
    </row>
    <row r="294">
      <c r="K294" s="2"/>
    </row>
    <row r="295">
      <c r="K295" s="2"/>
    </row>
    <row r="296">
      <c r="K296" s="2"/>
    </row>
    <row r="297">
      <c r="K297" s="2"/>
    </row>
    <row r="298">
      <c r="K298" s="2"/>
    </row>
    <row r="299">
      <c r="K299" s="2"/>
    </row>
    <row r="300">
      <c r="K300" s="2"/>
    </row>
    <row r="301">
      <c r="K301" s="2"/>
    </row>
    <row r="302">
      <c r="K302" s="2"/>
    </row>
    <row r="303">
      <c r="K303" s="2"/>
    </row>
    <row r="304">
      <c r="K304" s="2"/>
    </row>
    <row r="305">
      <c r="K305" s="2"/>
    </row>
    <row r="306">
      <c r="K306" s="2"/>
    </row>
    <row r="307">
      <c r="K307" s="2"/>
    </row>
    <row r="308">
      <c r="K308" s="2"/>
    </row>
    <row r="309">
      <c r="K309" s="2"/>
    </row>
    <row r="310">
      <c r="K310" s="2"/>
    </row>
    <row r="311">
      <c r="K311" s="2"/>
    </row>
    <row r="312">
      <c r="K312" s="2"/>
    </row>
    <row r="313">
      <c r="K313" s="2"/>
    </row>
    <row r="314">
      <c r="K314" s="2"/>
    </row>
    <row r="315">
      <c r="K315" s="2"/>
    </row>
    <row r="316">
      <c r="K316" s="2"/>
    </row>
    <row r="317">
      <c r="K317" s="2"/>
    </row>
    <row r="318">
      <c r="K318" s="2"/>
    </row>
    <row r="319">
      <c r="K319" s="2"/>
    </row>
    <row r="320">
      <c r="K320" s="2"/>
    </row>
    <row r="321">
      <c r="K321" s="2"/>
    </row>
    <row r="322">
      <c r="K322" s="2"/>
    </row>
    <row r="323">
      <c r="K323" s="2"/>
    </row>
    <row r="324">
      <c r="K324" s="2"/>
    </row>
    <row r="325">
      <c r="K325" s="2"/>
    </row>
    <row r="326">
      <c r="K326" s="2"/>
    </row>
    <row r="327">
      <c r="K327" s="2"/>
    </row>
    <row r="328">
      <c r="K328" s="2"/>
    </row>
    <row r="329">
      <c r="K329" s="2"/>
    </row>
    <row r="330">
      <c r="K330" s="2"/>
    </row>
    <row r="331">
      <c r="K331" s="2"/>
    </row>
    <row r="332">
      <c r="K332" s="2"/>
    </row>
    <row r="333">
      <c r="K333" s="2"/>
    </row>
    <row r="334">
      <c r="K334" s="2"/>
    </row>
    <row r="335">
      <c r="K335" s="2"/>
    </row>
    <row r="336">
      <c r="K336" s="2"/>
    </row>
    <row r="337">
      <c r="K337" s="2"/>
    </row>
    <row r="338">
      <c r="K338" s="2"/>
    </row>
    <row r="339">
      <c r="K339" s="2"/>
    </row>
    <row r="340">
      <c r="K340" s="2"/>
    </row>
    <row r="341">
      <c r="K341" s="2"/>
    </row>
    <row r="342">
      <c r="K342" s="2"/>
    </row>
    <row r="343">
      <c r="K343" s="2"/>
    </row>
    <row r="344">
      <c r="K344" s="2"/>
    </row>
    <row r="345">
      <c r="K345" s="2"/>
    </row>
    <row r="346">
      <c r="K346" s="2"/>
    </row>
    <row r="347">
      <c r="K347" s="2"/>
    </row>
    <row r="348">
      <c r="K348" s="2"/>
    </row>
    <row r="349">
      <c r="K349" s="2"/>
    </row>
    <row r="350">
      <c r="K350" s="2"/>
    </row>
    <row r="351">
      <c r="K351" s="2"/>
    </row>
    <row r="352">
      <c r="K352" s="2"/>
    </row>
    <row r="353">
      <c r="K353" s="2"/>
    </row>
    <row r="354">
      <c r="K354" s="2"/>
    </row>
    <row r="355">
      <c r="K355" s="2"/>
    </row>
    <row r="356">
      <c r="K356" s="2"/>
    </row>
    <row r="357">
      <c r="K357" s="2"/>
    </row>
    <row r="358">
      <c r="K358" s="2"/>
    </row>
    <row r="359">
      <c r="K359" s="2"/>
    </row>
    <row r="360">
      <c r="K360" s="2"/>
    </row>
    <row r="361">
      <c r="K361" s="2"/>
    </row>
    <row r="362">
      <c r="K362" s="2"/>
    </row>
    <row r="363">
      <c r="K363" s="2"/>
    </row>
    <row r="364">
      <c r="K364" s="2"/>
    </row>
    <row r="365">
      <c r="K365" s="2"/>
    </row>
    <row r="366">
      <c r="K366" s="2"/>
    </row>
    <row r="367">
      <c r="K367" s="2"/>
    </row>
    <row r="368">
      <c r="K368" s="2"/>
    </row>
    <row r="369">
      <c r="K369" s="2"/>
    </row>
    <row r="370">
      <c r="K370" s="2"/>
    </row>
    <row r="371" ht="12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</row>
    <row r="372" ht="12.75" customHeight="1">
      <c r="K372" s="2"/>
    </row>
    <row r="373" ht="12.75" customHeight="1">
      <c r="K373" s="2"/>
    </row>
    <row r="374" ht="12.75" customHeight="1">
      <c r="K374" s="2"/>
    </row>
    <row r="375" ht="12.75" customHeight="1">
      <c r="K375" s="2"/>
    </row>
    <row r="376" ht="12.75" customHeight="1">
      <c r="K376" s="2"/>
    </row>
    <row r="377" ht="12.75" customHeight="1">
      <c r="K377" s="2"/>
    </row>
    <row r="378" ht="12.75" customHeight="1">
      <c r="K378" s="2"/>
    </row>
    <row r="379" ht="12.75" customHeight="1">
      <c r="K379" s="2"/>
    </row>
    <row r="380" ht="12.75" customHeight="1">
      <c r="K380" s="2"/>
    </row>
    <row r="381" ht="12.75" customHeight="1">
      <c r="K381" s="2"/>
    </row>
    <row r="382" ht="12.75" customHeight="1">
      <c r="K382" s="2"/>
    </row>
    <row r="383" ht="12.75" customHeight="1">
      <c r="K383" s="2"/>
    </row>
    <row r="384" ht="12.75" customHeight="1">
      <c r="K384" s="2"/>
    </row>
    <row r="385" ht="12.75" customHeight="1">
      <c r="K385" s="2"/>
    </row>
    <row r="386" ht="12.75" customHeight="1">
      <c r="K386" s="2"/>
    </row>
    <row r="387" ht="12.75" customHeight="1">
      <c r="K387" s="2"/>
    </row>
    <row r="388" ht="12.75" customHeight="1">
      <c r="K388" s="2"/>
    </row>
    <row r="389" ht="12.75" customHeight="1">
      <c r="K389" s="2"/>
    </row>
    <row r="390">
      <c r="K390" s="2"/>
    </row>
    <row r="392">
      <c r="K392" s="2"/>
    </row>
    <row r="393">
      <c r="K393" s="2"/>
    </row>
    <row r="394" ht="331.5" customHeight="1">
      <c r="K394" s="2"/>
    </row>
    <row r="395">
      <c r="K395" s="2"/>
    </row>
    <row r="396">
      <c r="K396" s="2"/>
    </row>
    <row r="397">
      <c r="K397" s="2"/>
    </row>
    <row r="398">
      <c r="K398" s="2"/>
    </row>
    <row r="399">
      <c r="K399" s="2"/>
    </row>
    <row r="400">
      <c r="K400" s="2"/>
    </row>
    <row r="401">
      <c r="K401" s="2"/>
    </row>
    <row r="402">
      <c r="K402" s="2"/>
    </row>
    <row r="403">
      <c r="K403" s="2"/>
    </row>
    <row r="404">
      <c r="K404" s="2"/>
    </row>
    <row r="405">
      <c r="K405" s="2"/>
    </row>
    <row r="406">
      <c r="K406" s="2"/>
    </row>
    <row r="407">
      <c r="K407" s="2"/>
    </row>
    <row r="408">
      <c r="K408" s="2"/>
    </row>
    <row r="409">
      <c r="K409" s="2"/>
    </row>
    <row r="410">
      <c r="K410" s="2"/>
    </row>
    <row r="411">
      <c r="K411" s="2"/>
    </row>
    <row r="412">
      <c r="K412" s="2"/>
    </row>
    <row r="413">
      <c r="K413" s="2"/>
    </row>
    <row r="415">
      <c r="K415" s="2"/>
    </row>
    <row r="416">
      <c r="K416" s="2"/>
    </row>
    <row r="417">
      <c r="K417" s="2"/>
    </row>
    <row r="418">
      <c r="K418" s="2"/>
    </row>
    <row r="419">
      <c r="K419" s="2"/>
    </row>
    <row r="420">
      <c r="K420" s="2"/>
    </row>
    <row r="421">
      <c r="K421" s="2"/>
    </row>
    <row r="422">
      <c r="K422" s="2"/>
    </row>
    <row r="423">
      <c r="K423" s="2"/>
    </row>
    <row r="424">
      <c r="K424" s="2"/>
    </row>
    <row r="425">
      <c r="K425" s="2"/>
    </row>
    <row r="426">
      <c r="K426" s="2"/>
    </row>
    <row r="427">
      <c r="K427" s="2"/>
    </row>
    <row r="428">
      <c r="K428" s="2"/>
    </row>
    <row r="429">
      <c r="K429" s="2"/>
    </row>
    <row r="430">
      <c r="K430" s="2"/>
    </row>
    <row r="431">
      <c r="K431" s="2"/>
    </row>
    <row r="432">
      <c r="K432" s="2"/>
    </row>
    <row r="433">
      <c r="K433" s="2"/>
    </row>
    <row r="434">
      <c r="K434" s="2"/>
    </row>
    <row r="435">
      <c r="K435" s="2"/>
    </row>
    <row r="436">
      <c r="K436" s="2"/>
    </row>
    <row r="437">
      <c r="K437" s="2"/>
    </row>
    <row r="438">
      <c r="K438" s="2"/>
    </row>
    <row r="439" ht="1.5" customHeight="1">
      <c r="K439" s="2"/>
    </row>
    <row r="440" ht="1.5" customHeight="1">
      <c r="K440" s="2"/>
    </row>
    <row r="441" ht="1.5" customHeight="1">
      <c r="K441" s="2"/>
    </row>
    <row r="442" ht="18.0" customHeight="1">
      <c r="L442" s="58"/>
    </row>
    <row r="443">
      <c r="K443" s="2"/>
    </row>
    <row r="444">
      <c r="K444" s="2"/>
    </row>
    <row r="445">
      <c r="K445" s="2"/>
    </row>
    <row r="446">
      <c r="K446" s="2"/>
    </row>
    <row r="447">
      <c r="K447" s="2"/>
    </row>
    <row r="448">
      <c r="K448" s="2"/>
    </row>
    <row r="449">
      <c r="K449" s="2"/>
    </row>
    <row r="450">
      <c r="K450" s="2"/>
    </row>
    <row r="451">
      <c r="K451" s="2"/>
    </row>
    <row r="452">
      <c r="K452" s="2"/>
    </row>
    <row r="453">
      <c r="K453" s="2"/>
    </row>
    <row r="454">
      <c r="K454" s="2"/>
    </row>
    <row r="455">
      <c r="K455" s="2"/>
    </row>
    <row r="456">
      <c r="K456" s="2"/>
    </row>
    <row r="457">
      <c r="K457" s="2"/>
    </row>
    <row r="458">
      <c r="K458" s="2"/>
    </row>
    <row r="459">
      <c r="K459" s="2"/>
    </row>
    <row r="460">
      <c r="K460" s="2"/>
    </row>
    <row r="461">
      <c r="K461" s="2"/>
    </row>
    <row r="462">
      <c r="K462" s="2"/>
    </row>
    <row r="463">
      <c r="K463" s="2"/>
    </row>
    <row r="464">
      <c r="K464" s="2"/>
    </row>
    <row r="465">
      <c r="K465" s="2"/>
    </row>
    <row r="466">
      <c r="K466" s="2"/>
    </row>
    <row r="467">
      <c r="K467" s="2"/>
    </row>
    <row r="468">
      <c r="K468" s="2"/>
    </row>
    <row r="469">
      <c r="K469" s="2"/>
    </row>
    <row r="470">
      <c r="K470" s="2"/>
    </row>
    <row r="471">
      <c r="K471" s="2"/>
    </row>
    <row r="472">
      <c r="K472" s="2"/>
    </row>
    <row r="473">
      <c r="K473" s="2"/>
    </row>
    <row r="474">
      <c r="K474" s="2"/>
    </row>
    <row r="475">
      <c r="K475" s="2"/>
    </row>
    <row r="476">
      <c r="K476" s="2"/>
    </row>
    <row r="477">
      <c r="K477" s="2"/>
    </row>
    <row r="478">
      <c r="K478" s="2"/>
    </row>
    <row r="479">
      <c r="K479" s="2"/>
    </row>
    <row r="480">
      <c r="K480" s="2"/>
    </row>
    <row r="481">
      <c r="K481" s="2"/>
    </row>
    <row r="482">
      <c r="K482" s="2"/>
    </row>
    <row r="483">
      <c r="K483" s="2"/>
    </row>
    <row r="484">
      <c r="K484" s="2"/>
    </row>
    <row r="485">
      <c r="K485" s="2"/>
    </row>
    <row r="486">
      <c r="K486" s="2"/>
    </row>
    <row r="487">
      <c r="K487" s="2"/>
    </row>
    <row r="488">
      <c r="K488" s="2"/>
    </row>
    <row r="489">
      <c r="K489" s="2"/>
    </row>
    <row r="490">
      <c r="K490" s="2"/>
    </row>
    <row r="491">
      <c r="K491" s="2"/>
    </row>
    <row r="492">
      <c r="K492" s="2"/>
    </row>
    <row r="493">
      <c r="K493" s="2"/>
    </row>
    <row r="494">
      <c r="K494" s="2"/>
    </row>
    <row r="495">
      <c r="K495" s="2"/>
    </row>
    <row r="496">
      <c r="K496" s="2"/>
    </row>
    <row r="497">
      <c r="K497" s="2"/>
    </row>
    <row r="498">
      <c r="K498" s="2"/>
    </row>
    <row r="499">
      <c r="K499" s="2"/>
    </row>
    <row r="500">
      <c r="K500" s="2"/>
    </row>
    <row r="501">
      <c r="K501" s="2"/>
    </row>
    <row r="502">
      <c r="K502" s="2"/>
    </row>
    <row r="503">
      <c r="K503" s="2"/>
    </row>
    <row r="504">
      <c r="K504" s="2"/>
    </row>
    <row r="505" ht="14.25" customHeight="1">
      <c r="K505" s="2"/>
    </row>
    <row r="508">
      <c r="K508" s="2"/>
    </row>
    <row r="509">
      <c r="K509" s="2"/>
    </row>
    <row r="510">
      <c r="K510" s="2"/>
    </row>
    <row r="511">
      <c r="K511" s="2"/>
    </row>
    <row r="512">
      <c r="K512" s="2"/>
    </row>
    <row r="513">
      <c r="K513" s="2"/>
    </row>
    <row r="514">
      <c r="K514" s="2"/>
    </row>
    <row r="515">
      <c r="K515" s="2"/>
    </row>
    <row r="516">
      <c r="K516" s="2"/>
    </row>
    <row r="517">
      <c r="K517" s="2"/>
    </row>
    <row r="518">
      <c r="K518" s="2"/>
    </row>
    <row r="519">
      <c r="K519" s="2"/>
    </row>
    <row r="520">
      <c r="K520" s="2"/>
    </row>
    <row r="521">
      <c r="K521" s="2"/>
    </row>
    <row r="522">
      <c r="K522" s="2"/>
    </row>
    <row r="523">
      <c r="K523" s="2"/>
    </row>
    <row r="524">
      <c r="K524" s="2"/>
    </row>
    <row r="525">
      <c r="K525" s="2"/>
    </row>
    <row r="526">
      <c r="K526" s="2"/>
    </row>
    <row r="527">
      <c r="K527" s="2"/>
    </row>
    <row r="528">
      <c r="K528" s="2"/>
    </row>
    <row r="529">
      <c r="K529" s="2"/>
    </row>
    <row r="530">
      <c r="K530" s="2"/>
    </row>
    <row r="531">
      <c r="K531" s="2"/>
    </row>
    <row r="532">
      <c r="K532" s="2"/>
    </row>
    <row r="533">
      <c r="K533" s="2"/>
    </row>
    <row r="534">
      <c r="K534" s="2"/>
    </row>
    <row r="535">
      <c r="K535" s="2"/>
    </row>
    <row r="536">
      <c r="K536" s="2"/>
    </row>
    <row r="537">
      <c r="K537" s="2"/>
    </row>
    <row r="538">
      <c r="K538" s="2"/>
    </row>
    <row r="539">
      <c r="K539" s="2"/>
    </row>
    <row r="540">
      <c r="K540" s="2"/>
    </row>
    <row r="541">
      <c r="K541" s="2"/>
    </row>
    <row r="542">
      <c r="K542" s="2"/>
    </row>
    <row r="543">
      <c r="K543" s="2"/>
    </row>
    <row r="544">
      <c r="K544" s="2"/>
    </row>
    <row r="545">
      <c r="K545" s="2"/>
    </row>
    <row r="546">
      <c r="K546" s="2"/>
    </row>
    <row r="547">
      <c r="K547" s="2"/>
    </row>
    <row r="548">
      <c r="K548" s="2"/>
    </row>
    <row r="549">
      <c r="K549" s="2"/>
    </row>
    <row r="550">
      <c r="K550" s="2"/>
    </row>
    <row r="551">
      <c r="K551" s="2"/>
    </row>
    <row r="552">
      <c r="K552" s="2"/>
    </row>
    <row r="553">
      <c r="K553" s="2"/>
    </row>
    <row r="554">
      <c r="K554" s="2"/>
    </row>
    <row r="555">
      <c r="K555" s="2"/>
    </row>
    <row r="556">
      <c r="K556" s="2"/>
    </row>
    <row r="557">
      <c r="K557" s="2"/>
    </row>
    <row r="558">
      <c r="K558" s="2"/>
    </row>
    <row r="559">
      <c r="K559" s="2"/>
    </row>
    <row r="560">
      <c r="K560" s="2"/>
    </row>
    <row r="561">
      <c r="K561" s="2"/>
    </row>
    <row r="562">
      <c r="K562" s="2"/>
    </row>
    <row r="563">
      <c r="K563" s="2"/>
    </row>
    <row r="564">
      <c r="K564" s="2"/>
    </row>
    <row r="565">
      <c r="K565" s="2"/>
    </row>
    <row r="566">
      <c r="K566" s="2"/>
    </row>
    <row r="567">
      <c r="K567" s="2"/>
    </row>
    <row r="568">
      <c r="K568" s="2"/>
    </row>
    <row r="569">
      <c r="K569" s="2"/>
    </row>
    <row r="570">
      <c r="K570" s="2"/>
    </row>
    <row r="571">
      <c r="K571" s="2"/>
    </row>
    <row r="572">
      <c r="K572" s="2"/>
    </row>
    <row r="573">
      <c r="K573" s="2"/>
    </row>
    <row r="574">
      <c r="K574" s="2"/>
    </row>
    <row r="575">
      <c r="K575" s="2"/>
    </row>
    <row r="576">
      <c r="K576" s="2"/>
    </row>
    <row r="577" ht="169.5" customHeight="1">
      <c r="K577" s="2"/>
    </row>
    <row r="578" ht="156.0" customHeight="1">
      <c r="K578" s="2"/>
    </row>
    <row r="579" ht="173.25" customHeight="1">
      <c r="K579" s="2"/>
    </row>
    <row r="580" ht="20.25" customHeight="1">
      <c r="K580" s="2"/>
    </row>
    <row r="581" ht="38.25" customHeight="1">
      <c r="K581" s="2"/>
    </row>
    <row r="582" ht="24.0" customHeight="1">
      <c r="K582" s="2"/>
    </row>
    <row r="583" ht="19.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</row>
    <row r="584">
      <c r="K584" s="2"/>
    </row>
    <row r="585">
      <c r="K585" s="2"/>
    </row>
    <row r="586">
      <c r="K586" s="2"/>
    </row>
    <row r="587">
      <c r="K587" s="2"/>
    </row>
    <row r="588">
      <c r="K588" s="2"/>
    </row>
    <row r="589">
      <c r="K589" s="2"/>
    </row>
    <row r="590">
      <c r="K590" s="2"/>
    </row>
    <row r="591">
      <c r="K591" s="2"/>
    </row>
    <row r="592">
      <c r="K592" s="2"/>
    </row>
    <row r="593">
      <c r="K593" s="2"/>
    </row>
    <row r="594">
      <c r="K594" s="2"/>
    </row>
    <row r="595">
      <c r="K595" s="2"/>
    </row>
    <row r="596">
      <c r="K596" s="2"/>
    </row>
    <row r="597">
      <c r="K597" s="2"/>
    </row>
    <row r="598">
      <c r="K598" s="2"/>
    </row>
    <row r="599">
      <c r="K599" s="2"/>
    </row>
    <row r="600">
      <c r="K600" s="2"/>
    </row>
    <row r="601" ht="12.75" customHeight="1">
      <c r="K601" s="2"/>
    </row>
    <row r="602">
      <c r="K602" s="2"/>
    </row>
    <row r="603" ht="1.5" customHeight="1">
      <c r="K603" s="2"/>
    </row>
    <row r="604">
      <c r="K604" s="2"/>
    </row>
    <row r="605">
      <c r="K605" s="2"/>
    </row>
    <row r="606">
      <c r="K606" s="2"/>
    </row>
    <row r="607">
      <c r="K607" s="2"/>
    </row>
    <row r="608">
      <c r="K608" s="2"/>
    </row>
    <row r="609">
      <c r="K609" s="2"/>
    </row>
    <row r="610">
      <c r="K610" s="2"/>
    </row>
    <row r="611">
      <c r="K611" s="2"/>
    </row>
    <row r="612">
      <c r="K612" s="2"/>
    </row>
    <row r="613">
      <c r="K613" s="2"/>
    </row>
    <row r="614">
      <c r="K614" s="2"/>
    </row>
    <row r="615">
      <c r="K615" s="2"/>
    </row>
    <row r="616">
      <c r="K616" s="2"/>
    </row>
    <row r="617">
      <c r="K617" s="2"/>
    </row>
    <row r="618">
      <c r="K618" s="2"/>
    </row>
    <row r="619">
      <c r="K619" s="2"/>
    </row>
    <row r="620">
      <c r="K620" s="2"/>
    </row>
    <row r="621">
      <c r="K621" s="2"/>
    </row>
    <row r="622">
      <c r="K622" s="2"/>
    </row>
    <row r="623">
      <c r="K623" s="2"/>
    </row>
    <row r="624">
      <c r="K624" s="2"/>
    </row>
    <row r="625">
      <c r="K625" s="2"/>
    </row>
    <row r="626">
      <c r="K626" s="2"/>
    </row>
    <row r="627">
      <c r="K627" s="2"/>
    </row>
    <row r="628">
      <c r="K628" s="2"/>
    </row>
    <row r="629">
      <c r="K629" s="2"/>
    </row>
    <row r="630">
      <c r="K630" s="2"/>
    </row>
    <row r="631">
      <c r="K631" s="2"/>
    </row>
    <row r="632">
      <c r="K632" s="2"/>
    </row>
    <row r="633">
      <c r="K633" s="2"/>
    </row>
    <row r="634">
      <c r="K634" s="2"/>
    </row>
    <row r="635">
      <c r="K635" s="2"/>
    </row>
    <row r="636">
      <c r="K636" s="2"/>
    </row>
    <row r="637">
      <c r="K637" s="2"/>
    </row>
    <row r="638">
      <c r="K638" s="2"/>
    </row>
    <row r="639">
      <c r="K639" s="2"/>
    </row>
    <row r="640">
      <c r="K640" s="2"/>
    </row>
    <row r="641">
      <c r="K641" s="2"/>
    </row>
    <row r="642">
      <c r="K642" s="2"/>
    </row>
    <row r="643">
      <c r="K643" s="2"/>
    </row>
    <row r="644">
      <c r="K644" s="2"/>
    </row>
    <row r="645">
      <c r="K645" s="2"/>
    </row>
    <row r="646">
      <c r="K646" s="2"/>
    </row>
    <row r="647">
      <c r="K647" s="2"/>
    </row>
    <row r="648">
      <c r="K648" s="2"/>
    </row>
    <row r="649">
      <c r="K649" s="2"/>
    </row>
    <row r="650">
      <c r="K650" s="2"/>
    </row>
    <row r="651">
      <c r="K651" s="2"/>
    </row>
    <row r="652">
      <c r="K652" s="2"/>
    </row>
    <row r="653">
      <c r="K653" s="2"/>
    </row>
    <row r="654">
      <c r="K654" s="2"/>
    </row>
    <row r="655">
      <c r="K655" s="2"/>
    </row>
    <row r="656">
      <c r="K656" s="2"/>
    </row>
    <row r="657">
      <c r="K657" s="2"/>
    </row>
    <row r="658">
      <c r="K658" s="2"/>
    </row>
    <row r="659">
      <c r="K659" s="2"/>
    </row>
    <row r="660">
      <c r="K660" s="2"/>
    </row>
    <row r="661">
      <c r="K661" s="2"/>
    </row>
    <row r="662">
      <c r="K662" s="2"/>
    </row>
    <row r="663">
      <c r="K663" s="2"/>
    </row>
    <row r="664">
      <c r="K664" s="2"/>
    </row>
    <row r="665">
      <c r="K665" s="2"/>
    </row>
    <row r="666">
      <c r="K666" s="2"/>
    </row>
    <row r="667">
      <c r="K667" s="2"/>
    </row>
    <row r="668">
      <c r="K668" s="2"/>
    </row>
    <row r="669">
      <c r="K669" s="2"/>
    </row>
    <row r="670">
      <c r="K670" s="2"/>
    </row>
    <row r="671">
      <c r="K671" s="2"/>
    </row>
    <row r="672">
      <c r="K672" s="2"/>
    </row>
    <row r="673">
      <c r="K673" s="2"/>
    </row>
    <row r="674">
      <c r="K674" s="2"/>
    </row>
    <row r="675">
      <c r="K675" s="2"/>
    </row>
    <row r="676">
      <c r="K676" s="2"/>
    </row>
    <row r="677">
      <c r="K677" s="2"/>
    </row>
    <row r="678">
      <c r="K678" s="2"/>
    </row>
    <row r="679">
      <c r="K679" s="2"/>
    </row>
    <row r="680">
      <c r="K680" s="2"/>
    </row>
    <row r="681">
      <c r="K681" s="2"/>
    </row>
    <row r="682">
      <c r="K682" s="2"/>
    </row>
    <row r="683">
      <c r="K683" s="2"/>
    </row>
    <row r="684">
      <c r="K684" s="2"/>
    </row>
    <row r="685">
      <c r="K685" s="2"/>
    </row>
    <row r="686">
      <c r="K686" s="2"/>
    </row>
    <row r="687">
      <c r="K687" s="2"/>
    </row>
    <row r="688">
      <c r="K688" s="2"/>
    </row>
    <row r="689">
      <c r="K689" s="2"/>
    </row>
    <row r="690">
      <c r="K690" s="2"/>
    </row>
    <row r="691">
      <c r="K691" s="2"/>
    </row>
    <row r="692">
      <c r="K692" s="2"/>
    </row>
    <row r="693">
      <c r="K693" s="2"/>
    </row>
    <row r="694">
      <c r="K694" s="2"/>
    </row>
    <row r="695">
      <c r="K695" s="2"/>
    </row>
    <row r="696">
      <c r="K696" s="2"/>
    </row>
    <row r="697">
      <c r="K697" s="2"/>
    </row>
    <row r="698">
      <c r="K698" s="2"/>
    </row>
    <row r="699">
      <c r="K699" s="2"/>
    </row>
    <row r="700">
      <c r="K700" s="2"/>
    </row>
    <row r="701">
      <c r="K701" s="2"/>
    </row>
    <row r="702">
      <c r="K702" s="2"/>
    </row>
    <row r="703">
      <c r="K703" s="2"/>
    </row>
    <row r="704">
      <c r="K704" s="2"/>
    </row>
    <row r="705">
      <c r="K705" s="2"/>
    </row>
    <row r="706">
      <c r="K706" s="2"/>
    </row>
    <row r="707">
      <c r="K707" s="2"/>
    </row>
    <row r="708">
      <c r="K708" s="2"/>
    </row>
    <row r="709">
      <c r="K709" s="2"/>
    </row>
    <row r="710">
      <c r="K710" s="2"/>
    </row>
    <row r="711">
      <c r="K711" s="2"/>
    </row>
    <row r="712">
      <c r="K712" s="2"/>
    </row>
    <row r="713">
      <c r="K713" s="2"/>
    </row>
    <row r="714">
      <c r="K714" s="2"/>
    </row>
    <row r="715">
      <c r="K715" s="2"/>
    </row>
    <row r="716">
      <c r="K716" s="2"/>
    </row>
    <row r="717">
      <c r="K717" s="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58"/>
    </row>
    <row r="719">
      <c r="K719" s="2"/>
    </row>
    <row r="720">
      <c r="K720" s="2"/>
    </row>
    <row r="721">
      <c r="K721" s="2"/>
    </row>
    <row r="722">
      <c r="K722" s="2"/>
    </row>
    <row r="723">
      <c r="K723" s="2"/>
    </row>
    <row r="724">
      <c r="K724" s="2"/>
    </row>
    <row r="725">
      <c r="K725" s="2"/>
    </row>
    <row r="726">
      <c r="K726" s="2"/>
    </row>
    <row r="727">
      <c r="K727" s="2"/>
    </row>
    <row r="728">
      <c r="K728" s="2"/>
    </row>
    <row r="729">
      <c r="K729" s="2"/>
    </row>
    <row r="730">
      <c r="K730" s="2"/>
    </row>
    <row r="731">
      <c r="K731" s="2"/>
    </row>
    <row r="732">
      <c r="K732" s="2"/>
    </row>
    <row r="733">
      <c r="K733" s="2"/>
    </row>
    <row r="734">
      <c r="K734" s="2"/>
    </row>
    <row r="735">
      <c r="K735" s="2"/>
    </row>
    <row r="736">
      <c r="K736" s="2"/>
    </row>
    <row r="737">
      <c r="K737" s="2"/>
    </row>
    <row r="738" ht="13.5" customHeight="1">
      <c r="K738" s="2"/>
    </row>
    <row r="739" ht="10.5" customHeight="1">
      <c r="K739" s="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58"/>
    </row>
    <row r="741">
      <c r="K741" s="2"/>
    </row>
    <row r="742">
      <c r="K742" s="2"/>
    </row>
    <row r="743">
      <c r="K743" s="2"/>
    </row>
    <row r="744">
      <c r="K744" s="2"/>
    </row>
    <row r="745">
      <c r="K745" s="2"/>
    </row>
    <row r="746">
      <c r="K746" s="2"/>
    </row>
    <row r="747">
      <c r="K747" s="2"/>
    </row>
    <row r="748">
      <c r="K748" s="2"/>
    </row>
    <row r="749">
      <c r="K749" s="2"/>
    </row>
    <row r="750">
      <c r="K750" s="2"/>
    </row>
    <row r="751">
      <c r="K751" s="2"/>
    </row>
    <row r="752">
      <c r="K752" s="2"/>
    </row>
    <row r="753">
      <c r="K753" s="2"/>
    </row>
    <row r="754">
      <c r="K754" s="2"/>
    </row>
    <row r="755">
      <c r="K755" s="2"/>
    </row>
    <row r="756">
      <c r="K756" s="2"/>
    </row>
    <row r="757">
      <c r="K757" s="2"/>
    </row>
    <row r="758">
      <c r="K758" s="2"/>
    </row>
    <row r="759">
      <c r="K759" s="2"/>
    </row>
    <row r="760">
      <c r="K760" s="2"/>
    </row>
    <row r="761">
      <c r="K761" s="2"/>
    </row>
    <row r="762">
      <c r="K762" s="2"/>
    </row>
    <row r="763">
      <c r="K763" s="2"/>
    </row>
    <row r="764">
      <c r="K764" s="2"/>
    </row>
    <row r="765">
      <c r="K765" s="2"/>
    </row>
    <row r="766">
      <c r="K766" s="2"/>
    </row>
    <row r="767">
      <c r="K767" s="2"/>
    </row>
    <row r="768">
      <c r="K768" s="2"/>
    </row>
    <row r="769">
      <c r="K769" s="2"/>
    </row>
    <row r="770">
      <c r="K770" s="2"/>
    </row>
    <row r="771">
      <c r="K771" s="2"/>
    </row>
    <row r="772">
      <c r="K772" s="2"/>
    </row>
    <row r="773">
      <c r="K773" s="2"/>
    </row>
    <row r="774">
      <c r="K774" s="2"/>
    </row>
    <row r="775">
      <c r="K775" s="2"/>
    </row>
    <row r="776">
      <c r="K776" s="2"/>
    </row>
    <row r="777">
      <c r="K777" s="2"/>
    </row>
    <row r="778">
      <c r="K778" s="2"/>
    </row>
    <row r="779">
      <c r="K779" s="2"/>
    </row>
    <row r="780">
      <c r="K780" s="2"/>
    </row>
    <row r="781">
      <c r="K781" s="2"/>
    </row>
    <row r="782">
      <c r="K782" s="2"/>
    </row>
    <row r="783">
      <c r="K783" s="2"/>
    </row>
    <row r="784">
      <c r="K784" s="2"/>
    </row>
    <row r="785">
      <c r="K785" s="2"/>
    </row>
    <row r="786">
      <c r="K786" s="2"/>
    </row>
    <row r="787">
      <c r="K787" s="2"/>
    </row>
    <row r="788">
      <c r="K788" s="2"/>
    </row>
    <row r="789">
      <c r="K789" s="2"/>
    </row>
    <row r="790">
      <c r="K790" s="2"/>
    </row>
    <row r="791">
      <c r="K791" s="2"/>
    </row>
    <row r="792">
      <c r="K792" s="2"/>
    </row>
    <row r="793">
      <c r="K793" s="2"/>
    </row>
    <row r="794">
      <c r="K794" s="2"/>
    </row>
    <row r="795">
      <c r="K795" s="2"/>
    </row>
    <row r="796">
      <c r="K796" s="2"/>
    </row>
    <row r="797">
      <c r="K797" s="2"/>
    </row>
    <row r="798">
      <c r="K798" s="2"/>
    </row>
    <row r="799">
      <c r="K799" s="2"/>
    </row>
    <row r="800">
      <c r="K800" s="2"/>
    </row>
    <row r="801">
      <c r="K801" s="2"/>
    </row>
    <row r="802">
      <c r="K802" s="2"/>
    </row>
    <row r="803" ht="12.75" customHeight="1">
      <c r="K803" s="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58"/>
    </row>
    <row r="805">
      <c r="K805" s="2"/>
    </row>
    <row r="806">
      <c r="K806" s="2"/>
    </row>
    <row r="807">
      <c r="K807" s="2"/>
    </row>
    <row r="808">
      <c r="K808" s="2"/>
    </row>
    <row r="809">
      <c r="K809" s="2"/>
    </row>
    <row r="810">
      <c r="K810" s="2"/>
    </row>
    <row r="811">
      <c r="K811" s="2"/>
    </row>
    <row r="812">
      <c r="K812" s="2"/>
    </row>
    <row r="813">
      <c r="K813" s="2"/>
    </row>
    <row r="814">
      <c r="K814" s="2"/>
    </row>
    <row r="815">
      <c r="K815" s="2"/>
    </row>
    <row r="816">
      <c r="K816" s="2"/>
    </row>
    <row r="817">
      <c r="K817" s="2"/>
    </row>
    <row r="818">
      <c r="K818" s="2"/>
    </row>
    <row r="819">
      <c r="K819" s="2"/>
    </row>
    <row r="820">
      <c r="K820" s="2"/>
    </row>
    <row r="821">
      <c r="K821" s="2"/>
    </row>
    <row r="822">
      <c r="K822" s="2"/>
    </row>
    <row r="823">
      <c r="K823" s="2"/>
    </row>
    <row r="824">
      <c r="K824" s="2"/>
    </row>
    <row r="825">
      <c r="K825" s="2"/>
    </row>
    <row r="826">
      <c r="K826" s="2"/>
    </row>
    <row r="827" ht="13.5" customHeight="1">
      <c r="K827" s="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58"/>
    </row>
    <row r="829">
      <c r="K829" s="2"/>
    </row>
    <row r="830">
      <c r="K830" s="2"/>
    </row>
    <row r="831">
      <c r="K831" s="2"/>
    </row>
    <row r="832">
      <c r="K832" s="2"/>
    </row>
    <row r="833">
      <c r="K833" s="2"/>
    </row>
    <row r="834">
      <c r="K834" s="2"/>
    </row>
    <row r="835">
      <c r="K835" s="2"/>
    </row>
    <row r="836">
      <c r="K836" s="2"/>
    </row>
    <row r="837">
      <c r="K837" s="2"/>
    </row>
    <row r="838">
      <c r="K838" s="2"/>
    </row>
    <row r="839">
      <c r="K839" s="2"/>
    </row>
    <row r="840">
      <c r="K840" s="2"/>
    </row>
    <row r="841">
      <c r="K841" s="2"/>
    </row>
    <row r="842">
      <c r="K842" s="2"/>
    </row>
    <row r="843">
      <c r="K843" s="2"/>
    </row>
    <row r="844">
      <c r="K844" s="2"/>
    </row>
    <row r="845">
      <c r="K845" s="2"/>
    </row>
    <row r="846">
      <c r="K846" s="2"/>
    </row>
    <row r="847">
      <c r="K847" s="2"/>
    </row>
    <row r="848">
      <c r="K848" s="2"/>
    </row>
    <row r="849">
      <c r="K849" s="2"/>
    </row>
    <row r="850">
      <c r="K850" s="2"/>
    </row>
    <row r="851">
      <c r="K851" s="2"/>
    </row>
    <row r="852">
      <c r="K852" s="2"/>
    </row>
    <row r="853">
      <c r="K853" s="2"/>
    </row>
    <row r="854">
      <c r="K854" s="2"/>
    </row>
    <row r="855">
      <c r="K855" s="2"/>
    </row>
    <row r="856">
      <c r="K856" s="2"/>
    </row>
    <row r="857">
      <c r="K857" s="2"/>
    </row>
    <row r="858">
      <c r="K858" s="2"/>
    </row>
    <row r="859">
      <c r="K859" s="2"/>
    </row>
    <row r="860">
      <c r="K860" s="2"/>
    </row>
    <row r="861">
      <c r="K861" s="2"/>
    </row>
    <row r="862">
      <c r="K862" s="2"/>
    </row>
    <row r="863">
      <c r="K863" s="2"/>
    </row>
    <row r="864">
      <c r="K864" s="2"/>
    </row>
    <row r="865">
      <c r="K865" s="2"/>
    </row>
    <row r="866">
      <c r="K866" s="2"/>
    </row>
    <row r="867">
      <c r="K867" s="2"/>
    </row>
    <row r="868">
      <c r="K868" s="2"/>
    </row>
    <row r="869">
      <c r="K869" s="2"/>
    </row>
    <row r="870">
      <c r="K870" s="2"/>
    </row>
    <row r="871">
      <c r="K871" s="2"/>
    </row>
    <row r="872">
      <c r="K872" s="2"/>
    </row>
    <row r="873">
      <c r="K873" s="2"/>
    </row>
    <row r="874">
      <c r="K874" s="2"/>
    </row>
    <row r="875">
      <c r="K875" s="2"/>
    </row>
    <row r="876">
      <c r="K876" s="2"/>
    </row>
    <row r="877">
      <c r="K877" s="2"/>
    </row>
    <row r="878">
      <c r="K878" s="2"/>
    </row>
    <row r="879">
      <c r="K879" s="2"/>
    </row>
    <row r="880">
      <c r="K880" s="2"/>
    </row>
    <row r="881">
      <c r="K881" s="2"/>
    </row>
    <row r="882">
      <c r="K882" s="2"/>
    </row>
    <row r="883">
      <c r="K883" s="2"/>
    </row>
    <row r="884">
      <c r="K884" s="2"/>
    </row>
    <row r="885">
      <c r="K885" s="2"/>
    </row>
    <row r="886">
      <c r="K886" s="2"/>
    </row>
    <row r="887">
      <c r="K887" s="2"/>
    </row>
    <row r="888">
      <c r="K888" s="2"/>
    </row>
    <row r="889">
      <c r="K889" s="2"/>
    </row>
    <row r="890">
      <c r="K890" s="2"/>
    </row>
    <row r="891">
      <c r="K891" s="2"/>
    </row>
    <row r="892">
      <c r="K892" s="2"/>
    </row>
    <row r="893">
      <c r="K893" s="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58"/>
    </row>
    <row r="895">
      <c r="K895" s="2"/>
    </row>
    <row r="896">
      <c r="K896" s="2"/>
    </row>
    <row r="897">
      <c r="K897" s="2"/>
    </row>
    <row r="898">
      <c r="K898" s="2"/>
    </row>
    <row r="899">
      <c r="K899" s="2"/>
    </row>
    <row r="900">
      <c r="K900" s="2"/>
    </row>
    <row r="901">
      <c r="K901" s="2"/>
    </row>
    <row r="902">
      <c r="K902" s="2"/>
    </row>
    <row r="903">
      <c r="K903" s="2"/>
    </row>
    <row r="904" ht="13.5" customHeight="1">
      <c r="K904" s="2"/>
    </row>
    <row r="905" ht="19.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>
      <c r="K906" s="2"/>
    </row>
    <row r="907">
      <c r="K907" s="2"/>
    </row>
    <row r="908">
      <c r="K908" s="2"/>
    </row>
    <row r="909">
      <c r="K909" s="2"/>
    </row>
    <row r="910">
      <c r="K910" s="2"/>
    </row>
    <row r="911">
      <c r="K911" s="2"/>
    </row>
    <row r="912">
      <c r="K912" s="2"/>
    </row>
    <row r="913">
      <c r="K913" s="2"/>
    </row>
    <row r="914">
      <c r="K914" s="2"/>
    </row>
    <row r="915">
      <c r="K915" s="2"/>
    </row>
    <row r="916">
      <c r="K916" s="2"/>
    </row>
    <row r="917">
      <c r="K917" s="2"/>
    </row>
    <row r="918">
      <c r="K918" s="2"/>
    </row>
    <row r="919">
      <c r="K919" s="2"/>
    </row>
    <row r="920">
      <c r="K920" s="2"/>
    </row>
    <row r="921">
      <c r="K921" s="2"/>
    </row>
    <row r="922">
      <c r="K922" s="2"/>
    </row>
    <row r="923">
      <c r="K923" s="2"/>
    </row>
    <row r="924">
      <c r="K924" s="2"/>
    </row>
    <row r="925">
      <c r="K925" s="2"/>
    </row>
    <row r="926">
      <c r="K926" s="2"/>
    </row>
    <row r="927">
      <c r="K927" s="2"/>
    </row>
    <row r="928">
      <c r="K928" s="2"/>
    </row>
    <row r="929">
      <c r="K929" s="2"/>
    </row>
    <row r="930">
      <c r="K930" s="2"/>
    </row>
    <row r="931">
      <c r="K931" s="2"/>
    </row>
    <row r="932">
      <c r="K932" s="2"/>
    </row>
    <row r="933">
      <c r="K933" s="2"/>
    </row>
    <row r="934">
      <c r="K934" s="2"/>
    </row>
    <row r="935">
      <c r="K935" s="2"/>
    </row>
    <row r="936">
      <c r="K936" s="2"/>
    </row>
    <row r="937">
      <c r="K937" s="2"/>
    </row>
    <row r="938">
      <c r="K938" s="2"/>
    </row>
    <row r="939">
      <c r="K939" s="2"/>
    </row>
    <row r="940">
      <c r="K940" s="2"/>
    </row>
    <row r="941">
      <c r="K941" s="2"/>
    </row>
    <row r="942">
      <c r="K942" s="2"/>
    </row>
    <row r="943">
      <c r="K943" s="2"/>
    </row>
    <row r="944">
      <c r="K944" s="2"/>
    </row>
    <row r="945">
      <c r="K945" s="2"/>
    </row>
    <row r="946">
      <c r="K946" s="2"/>
    </row>
    <row r="947">
      <c r="K947" s="2"/>
    </row>
    <row r="948">
      <c r="K948" s="2"/>
    </row>
    <row r="949">
      <c r="K949" s="2"/>
    </row>
    <row r="950">
      <c r="K950" s="2"/>
    </row>
    <row r="951">
      <c r="K951" s="2"/>
    </row>
    <row r="952">
      <c r="K952" s="2"/>
    </row>
    <row r="953">
      <c r="K953" s="2"/>
    </row>
    <row r="954">
      <c r="K954" s="2"/>
    </row>
    <row r="955">
      <c r="K955" s="2"/>
    </row>
    <row r="956">
      <c r="K956" s="2"/>
    </row>
    <row r="957">
      <c r="K957" s="2"/>
    </row>
    <row r="958">
      <c r="K958" s="2"/>
    </row>
    <row r="959">
      <c r="K959" s="2"/>
    </row>
    <row r="960">
      <c r="K960" s="2"/>
    </row>
    <row r="961">
      <c r="K961" s="2"/>
    </row>
    <row r="962">
      <c r="K962" s="2"/>
    </row>
    <row r="963">
      <c r="K963" s="2"/>
    </row>
    <row r="964">
      <c r="K964" s="2"/>
    </row>
    <row r="965">
      <c r="K965" s="2"/>
    </row>
    <row r="966">
      <c r="K966" s="2"/>
    </row>
    <row r="967">
      <c r="K967" s="2"/>
    </row>
    <row r="968">
      <c r="K968" s="2"/>
    </row>
    <row r="969">
      <c r="K969" s="2"/>
    </row>
    <row r="970">
      <c r="K970" s="2"/>
    </row>
    <row r="971">
      <c r="K971" s="2"/>
    </row>
    <row r="972">
      <c r="K972" s="2"/>
    </row>
    <row r="973">
      <c r="K973" s="2"/>
    </row>
    <row r="974">
      <c r="K974" s="2"/>
    </row>
    <row r="975">
      <c r="K975" s="2"/>
    </row>
    <row r="976">
      <c r="K976" s="2"/>
    </row>
    <row r="977">
      <c r="K977" s="2"/>
    </row>
    <row r="978">
      <c r="K978" s="2"/>
    </row>
    <row r="979">
      <c r="K979" s="2"/>
    </row>
    <row r="980">
      <c r="K980" s="2"/>
    </row>
    <row r="981">
      <c r="K981" s="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58"/>
    </row>
    <row r="983">
      <c r="K983" s="2"/>
    </row>
    <row r="984">
      <c r="K984" s="2"/>
    </row>
    <row r="985">
      <c r="K985" s="2"/>
    </row>
    <row r="986">
      <c r="K986" s="2"/>
    </row>
    <row r="987">
      <c r="K987" s="2"/>
    </row>
    <row r="988">
      <c r="K988" s="2"/>
    </row>
    <row r="989">
      <c r="K989" s="2"/>
    </row>
    <row r="990">
      <c r="K990" s="2"/>
    </row>
    <row r="991">
      <c r="K991" s="2"/>
    </row>
    <row r="992">
      <c r="K992" s="2"/>
    </row>
    <row r="993">
      <c r="K993" s="2"/>
    </row>
    <row r="994">
      <c r="K994" s="2"/>
    </row>
    <row r="995">
      <c r="K995" s="2"/>
    </row>
    <row r="996">
      <c r="K996" s="2"/>
    </row>
    <row r="997">
      <c r="K997" s="2"/>
    </row>
    <row r="998">
      <c r="K998" s="2"/>
    </row>
    <row r="999">
      <c r="K999" s="2"/>
    </row>
    <row r="1000">
      <c r="K1000" s="2"/>
    </row>
    <row r="1001">
      <c r="K1001" s="2"/>
    </row>
    <row r="1002">
      <c r="K1002" s="2"/>
    </row>
    <row r="1003">
      <c r="K1003" s="2"/>
    </row>
    <row r="1004">
      <c r="K1004" s="2"/>
    </row>
    <row r="1005">
      <c r="K1005" s="2"/>
    </row>
    <row r="1006">
      <c r="K1006" s="2"/>
    </row>
    <row r="1007">
      <c r="K1007" s="2"/>
    </row>
    <row r="1008">
      <c r="K1008" s="2"/>
    </row>
    <row r="1009">
      <c r="K1009" s="2"/>
    </row>
    <row r="1010">
      <c r="K1010" s="2"/>
    </row>
    <row r="1011">
      <c r="K1011" s="2"/>
    </row>
    <row r="1012">
      <c r="K1012" s="2"/>
    </row>
    <row r="1013">
      <c r="K1013" s="2"/>
    </row>
    <row r="1014">
      <c r="K1014" s="2"/>
    </row>
    <row r="1015">
      <c r="K1015" s="2"/>
    </row>
    <row r="1016">
      <c r="K1016" s="2"/>
    </row>
    <row r="1017">
      <c r="K1017" s="2"/>
    </row>
    <row r="1018">
      <c r="K1018" s="2"/>
    </row>
    <row r="1019">
      <c r="K1019" s="2"/>
    </row>
    <row r="1020">
      <c r="K1020" s="2"/>
    </row>
    <row r="1021">
      <c r="K1021" s="2"/>
    </row>
    <row r="1022">
      <c r="K1022" s="2"/>
    </row>
    <row r="1023">
      <c r="K1023" s="2"/>
    </row>
    <row r="1024">
      <c r="K1024" s="2"/>
    </row>
    <row r="1025">
      <c r="K1025" s="2"/>
    </row>
    <row r="1026">
      <c r="K1026" s="2"/>
    </row>
    <row r="1027">
      <c r="K1027" s="2"/>
    </row>
    <row r="1028">
      <c r="K1028" s="2"/>
    </row>
    <row r="1029">
      <c r="K1029" s="2"/>
    </row>
    <row r="1030">
      <c r="K1030" s="2"/>
    </row>
    <row r="1031">
      <c r="K1031" s="2"/>
    </row>
    <row r="1032">
      <c r="K1032" s="2"/>
    </row>
    <row r="1033">
      <c r="K1033" s="2"/>
    </row>
    <row r="1034">
      <c r="K1034" s="2"/>
    </row>
    <row r="1035">
      <c r="K1035" s="2"/>
    </row>
    <row r="1036">
      <c r="K1036" s="2"/>
    </row>
    <row r="1037">
      <c r="K1037" s="2"/>
    </row>
    <row r="1038">
      <c r="K1038" s="2"/>
    </row>
    <row r="1039">
      <c r="K1039" s="2"/>
    </row>
    <row r="1040">
      <c r="K1040" s="2"/>
    </row>
    <row r="1041">
      <c r="K1041" s="2"/>
    </row>
    <row r="1042">
      <c r="K1042" s="2"/>
    </row>
    <row r="1043">
      <c r="K1043" s="2"/>
    </row>
    <row r="1044">
      <c r="K1044" s="2"/>
    </row>
    <row r="1045">
      <c r="K1045" s="2"/>
    </row>
    <row r="1046">
      <c r="K1046" s="2"/>
    </row>
    <row r="1047">
      <c r="K1047" s="2"/>
    </row>
    <row r="1048">
      <c r="K1048" s="2"/>
    </row>
    <row r="1049">
      <c r="K1049" s="2"/>
    </row>
    <row r="1050">
      <c r="K1050" s="2"/>
    </row>
    <row r="1051">
      <c r="K1051" s="2"/>
    </row>
    <row r="1052">
      <c r="K1052" s="2"/>
    </row>
    <row r="1053">
      <c r="K1053" s="2"/>
    </row>
    <row r="1054">
      <c r="K1054" s="2"/>
    </row>
    <row r="1055">
      <c r="K1055" s="2"/>
    </row>
    <row r="1056">
      <c r="K1056" s="2"/>
    </row>
    <row r="1057">
      <c r="K1057" s="2"/>
    </row>
    <row r="1058">
      <c r="K1058" s="2"/>
    </row>
    <row r="1059">
      <c r="K1059" s="2"/>
    </row>
    <row r="1060">
      <c r="K1060" s="2"/>
    </row>
    <row r="1061">
      <c r="K1061" s="2"/>
    </row>
    <row r="1062">
      <c r="K1062" s="2"/>
    </row>
    <row r="1063">
      <c r="K1063" s="2"/>
    </row>
    <row r="1064">
      <c r="K1064" s="2"/>
    </row>
    <row r="1065">
      <c r="K1065" s="2"/>
    </row>
    <row r="1066">
      <c r="K1066" s="2"/>
    </row>
    <row r="1067">
      <c r="K1067" s="2"/>
    </row>
    <row r="1068">
      <c r="K1068" s="2"/>
    </row>
    <row r="1069">
      <c r="K1069" s="2"/>
    </row>
    <row r="1070">
      <c r="K1070" s="2"/>
    </row>
    <row r="1071">
      <c r="K1071" s="2"/>
    </row>
    <row r="1072">
      <c r="K1072" s="2"/>
    </row>
    <row r="1073">
      <c r="K1073" s="2"/>
    </row>
    <row r="1074">
      <c r="A1074" s="62"/>
      <c r="B1074" s="62"/>
      <c r="C1074" s="62"/>
      <c r="D1074" s="62"/>
      <c r="E1074" s="62"/>
      <c r="F1074" s="62"/>
      <c r="G1074" s="62"/>
      <c r="H1074" s="62"/>
      <c r="I1074" s="62"/>
      <c r="J1074" s="62"/>
      <c r="K1074" s="58"/>
    </row>
    <row r="1075">
      <c r="K1075" s="2"/>
    </row>
    <row r="1076">
      <c r="K1076" s="2"/>
    </row>
    <row r="1077">
      <c r="K1077" s="2"/>
    </row>
    <row r="1078">
      <c r="K1078" s="2"/>
    </row>
    <row r="1079">
      <c r="K1079" s="2"/>
    </row>
    <row r="1080">
      <c r="K1080" s="2"/>
    </row>
    <row r="1081">
      <c r="K1081" s="2"/>
    </row>
    <row r="1082">
      <c r="K1082" s="2"/>
    </row>
    <row r="1083">
      <c r="K1083" s="2"/>
    </row>
    <row r="1084">
      <c r="K1084" s="2"/>
    </row>
    <row r="1085">
      <c r="K1085" s="2"/>
    </row>
    <row r="1086">
      <c r="K1086" s="2"/>
    </row>
    <row r="1087">
      <c r="K1087" s="2"/>
    </row>
    <row r="1088">
      <c r="K1088" s="2"/>
    </row>
    <row r="1089">
      <c r="K1089" s="2"/>
    </row>
    <row r="1090">
      <c r="K1090" s="2"/>
    </row>
    <row r="1091">
      <c r="K1091" s="2"/>
    </row>
    <row r="1092">
      <c r="K1092" s="2"/>
    </row>
    <row r="1093">
      <c r="K1093" s="2"/>
    </row>
    <row r="1094">
      <c r="K1094" s="2"/>
    </row>
    <row r="1095">
      <c r="K1095" s="2"/>
    </row>
    <row r="1096">
      <c r="K1096" s="2"/>
    </row>
    <row r="1097">
      <c r="K1097" s="2"/>
    </row>
    <row r="1098">
      <c r="K1098" s="2"/>
    </row>
    <row r="1099">
      <c r="K1099" s="2"/>
    </row>
    <row r="1100">
      <c r="K1100" s="2"/>
    </row>
    <row r="1101">
      <c r="K1101" s="2"/>
    </row>
    <row r="1102">
      <c r="K1102" s="2"/>
    </row>
    <row r="1103">
      <c r="K1103" s="2"/>
    </row>
    <row r="1104">
      <c r="K1104" s="2"/>
    </row>
    <row r="1105">
      <c r="K1105" s="2"/>
    </row>
    <row r="1106">
      <c r="K1106" s="2"/>
    </row>
    <row r="1107">
      <c r="K1107" s="2"/>
    </row>
    <row r="1108">
      <c r="K1108" s="2"/>
    </row>
    <row r="1109">
      <c r="K1109" s="2"/>
    </row>
    <row r="1110">
      <c r="K1110" s="2"/>
    </row>
    <row r="1111">
      <c r="K1111" s="2"/>
    </row>
    <row r="1112">
      <c r="K1112" s="2"/>
    </row>
    <row r="1113">
      <c r="K1113" s="2"/>
    </row>
    <row r="1114">
      <c r="K1114" s="2"/>
    </row>
    <row r="1115">
      <c r="K1115" s="2"/>
    </row>
    <row r="1116">
      <c r="K1116" s="2"/>
    </row>
    <row r="1117">
      <c r="K1117" s="2"/>
    </row>
    <row r="1118" ht="24.0" customHeight="1">
      <c r="K1118" s="2"/>
    </row>
    <row r="1119" hidden="1">
      <c r="K1119" s="2"/>
    </row>
    <row r="1120" hidden="1">
      <c r="K1120" s="2"/>
    </row>
    <row r="1121" hidden="1">
      <c r="K1121" s="2"/>
    </row>
    <row r="1122" hidden="1">
      <c r="K1122" s="2"/>
    </row>
    <row r="1123" hidden="1">
      <c r="K1123" s="2"/>
    </row>
    <row r="1124" hidden="1">
      <c r="K1124" s="2"/>
    </row>
    <row r="1125" hidden="1">
      <c r="K1125" s="2"/>
    </row>
    <row r="1126" hidden="1">
      <c r="K1126" s="2"/>
    </row>
    <row r="1127" hidden="1">
      <c r="K1127" s="2"/>
    </row>
    <row r="1128" hidden="1">
      <c r="K1128" s="2"/>
    </row>
    <row r="1129" hidden="1">
      <c r="K1129" s="2"/>
    </row>
    <row r="1130" hidden="1">
      <c r="K1130" s="2"/>
    </row>
    <row r="1131" hidden="1">
      <c r="K1131" s="2"/>
    </row>
    <row r="1132" hidden="1">
      <c r="K1132" s="2"/>
    </row>
    <row r="1133" hidden="1">
      <c r="K1133" s="2"/>
    </row>
    <row r="1134" hidden="1">
      <c r="K1134" s="2"/>
    </row>
    <row r="1135" hidden="1">
      <c r="K1135" s="2"/>
    </row>
    <row r="1136" hidden="1">
      <c r="K1136" s="2"/>
    </row>
    <row r="1137" hidden="1">
      <c r="K1137" s="2"/>
    </row>
    <row r="1138" hidden="1">
      <c r="K1138" s="2"/>
    </row>
    <row r="1139" hidden="1">
      <c r="K1139" s="2"/>
    </row>
    <row r="1140" hidden="1">
      <c r="K1140" s="2"/>
    </row>
    <row r="1141" hidden="1">
      <c r="K1141" s="2"/>
    </row>
    <row r="1142" hidden="1">
      <c r="K1142" s="2"/>
    </row>
    <row r="1143" hidden="1">
      <c r="K1143" s="2"/>
    </row>
    <row r="1144" hidden="1">
      <c r="K1144" s="2"/>
    </row>
    <row r="1145" hidden="1">
      <c r="K1145" s="2"/>
    </row>
    <row r="1146" hidden="1">
      <c r="K1146" s="2"/>
    </row>
    <row r="1147" hidden="1">
      <c r="K1147" s="2"/>
    </row>
    <row r="1148" hidden="1">
      <c r="K1148" s="2"/>
    </row>
    <row r="1149" hidden="1">
      <c r="K1149" s="2"/>
    </row>
    <row r="1150" hidden="1">
      <c r="K1150" s="2"/>
    </row>
    <row r="1151" hidden="1">
      <c r="K1151" s="2"/>
    </row>
    <row r="1152" hidden="1">
      <c r="K1152" s="2"/>
    </row>
    <row r="1153" hidden="1">
      <c r="K1153" s="2"/>
    </row>
    <row r="1154" hidden="1">
      <c r="K1154" s="2"/>
    </row>
    <row r="1155" hidden="1">
      <c r="K1155" s="2"/>
    </row>
    <row r="1156" hidden="1">
      <c r="K1156" s="2"/>
    </row>
    <row r="1157" hidden="1">
      <c r="K1157" s="2"/>
    </row>
    <row r="1158" hidden="1">
      <c r="K1158" s="2"/>
    </row>
    <row r="1159" hidden="1">
      <c r="K1159" s="2"/>
    </row>
    <row r="1160" hidden="1">
      <c r="K1160" s="2"/>
    </row>
    <row r="1161" hidden="1">
      <c r="K1161" s="2"/>
    </row>
    <row r="1162" hidden="1">
      <c r="K1162" s="2"/>
    </row>
    <row r="1163" hidden="1">
      <c r="K1163" s="2"/>
    </row>
    <row r="1164" hidden="1">
      <c r="K1164" s="2"/>
    </row>
    <row r="1165" hidden="1">
      <c r="K1165" s="2"/>
    </row>
    <row r="1166" hidden="1">
      <c r="K1166" s="2"/>
    </row>
    <row r="1167" hidden="1">
      <c r="K1167" s="2"/>
    </row>
    <row r="1168" hidden="1">
      <c r="K1168" s="2"/>
    </row>
    <row r="1169" hidden="1">
      <c r="K1169" s="2"/>
    </row>
    <row r="1170" hidden="1">
      <c r="K1170" s="2"/>
    </row>
    <row r="1171" hidden="1">
      <c r="K1171" s="2"/>
    </row>
    <row r="1172" hidden="1">
      <c r="K1172" s="2"/>
    </row>
    <row r="1173" hidden="1">
      <c r="K1173" s="2"/>
    </row>
    <row r="1174" hidden="1">
      <c r="K1174" s="2"/>
    </row>
    <row r="1175" hidden="1">
      <c r="K1175" s="2"/>
    </row>
    <row r="1176" hidden="1">
      <c r="K1176" s="2"/>
    </row>
    <row r="1177" hidden="1">
      <c r="K1177" s="2"/>
    </row>
    <row r="1178" hidden="1">
      <c r="K1178" s="2"/>
    </row>
    <row r="1179" hidden="1">
      <c r="K1179" s="2"/>
    </row>
    <row r="1180" hidden="1">
      <c r="K1180" s="2"/>
    </row>
    <row r="1181" hidden="1">
      <c r="K1181" s="2"/>
    </row>
    <row r="1182" hidden="1">
      <c r="K1182" s="2"/>
    </row>
    <row r="1183" hidden="1">
      <c r="K1183" s="2"/>
    </row>
    <row r="1184" hidden="1">
      <c r="K1184" s="2"/>
    </row>
    <row r="1185" hidden="1">
      <c r="K1185" s="2"/>
    </row>
    <row r="1186" hidden="1">
      <c r="K1186" s="2"/>
    </row>
    <row r="1187" hidden="1">
      <c r="K1187" s="2"/>
    </row>
    <row r="1188" hidden="1">
      <c r="K1188" s="2"/>
    </row>
    <row r="1189" hidden="1">
      <c r="K1189" s="2"/>
    </row>
    <row r="1190" hidden="1">
      <c r="K1190" s="2"/>
    </row>
    <row r="1191" hidden="1">
      <c r="K1191" s="2"/>
    </row>
    <row r="1192" hidden="1">
      <c r="K1192" s="2"/>
    </row>
    <row r="1193" hidden="1">
      <c r="K1193" s="2"/>
    </row>
    <row r="1194" hidden="1">
      <c r="K1194" s="2"/>
    </row>
    <row r="1195" hidden="1">
      <c r="K1195" s="2"/>
    </row>
    <row r="1196" hidden="1">
      <c r="K1196" s="2"/>
    </row>
    <row r="1197" hidden="1">
      <c r="K1197" s="2"/>
    </row>
    <row r="1198" hidden="1">
      <c r="K1198" s="2"/>
    </row>
    <row r="1199" hidden="1">
      <c r="K1199" s="2"/>
    </row>
    <row r="1200" hidden="1">
      <c r="K1200" s="2"/>
    </row>
    <row r="1201" hidden="1">
      <c r="K1201" s="2"/>
    </row>
    <row r="1202" hidden="1">
      <c r="K1202" s="2"/>
    </row>
    <row r="1203" hidden="1">
      <c r="K1203" s="2"/>
    </row>
    <row r="1204" hidden="1">
      <c r="K1204" s="2"/>
    </row>
    <row r="1205" hidden="1">
      <c r="K1205" s="2"/>
    </row>
    <row r="1206" hidden="1">
      <c r="K1206" s="2"/>
    </row>
    <row r="1207" hidden="1">
      <c r="K1207" s="2"/>
    </row>
    <row r="1208" hidden="1">
      <c r="K1208" s="2"/>
    </row>
    <row r="1209" hidden="1">
      <c r="K1209" s="2"/>
    </row>
    <row r="1210" hidden="1">
      <c r="K1210" s="2"/>
    </row>
    <row r="1211" hidden="1">
      <c r="K1211" s="2"/>
    </row>
    <row r="1212" hidden="1">
      <c r="K1212" s="2"/>
    </row>
    <row r="1213" hidden="1">
      <c r="K1213" s="2"/>
    </row>
    <row r="1214" hidden="1">
      <c r="K1214" s="2"/>
    </row>
    <row r="1215" hidden="1">
      <c r="K1215" s="2"/>
    </row>
    <row r="1216" hidden="1">
      <c r="K1216" s="2"/>
    </row>
    <row r="1217" hidden="1">
      <c r="K1217" s="2"/>
    </row>
    <row r="1218" hidden="1">
      <c r="K1218" s="2"/>
    </row>
    <row r="1219" hidden="1">
      <c r="K1219" s="2"/>
    </row>
    <row r="1220" hidden="1">
      <c r="K1220" s="2"/>
    </row>
    <row r="1221" hidden="1">
      <c r="K1221" s="2"/>
    </row>
    <row r="1222" hidden="1">
      <c r="K1222" s="2"/>
    </row>
    <row r="1223" hidden="1">
      <c r="K1223" s="2"/>
    </row>
    <row r="1224" hidden="1">
      <c r="K1224" s="2"/>
    </row>
    <row r="1225" hidden="1">
      <c r="K1225" s="2"/>
    </row>
    <row r="1226" hidden="1">
      <c r="K1226" s="2"/>
    </row>
    <row r="1227" hidden="1">
      <c r="K1227" s="2"/>
    </row>
    <row r="1228" hidden="1">
      <c r="K1228" s="2"/>
    </row>
    <row r="1229" hidden="1">
      <c r="K1229" s="2"/>
    </row>
    <row r="1230" hidden="1">
      <c r="K1230" s="2"/>
    </row>
    <row r="1231" hidden="1">
      <c r="K1231" s="2"/>
    </row>
    <row r="1232" hidden="1">
      <c r="K1232" s="2"/>
    </row>
    <row r="1233" hidden="1">
      <c r="K1233" s="2"/>
    </row>
    <row r="1234" hidden="1">
      <c r="K1234" s="2"/>
    </row>
    <row r="1235" hidden="1">
      <c r="K1235" s="2"/>
    </row>
    <row r="1236" hidden="1">
      <c r="K1236" s="2"/>
    </row>
    <row r="1237" hidden="1">
      <c r="K1237" s="2"/>
    </row>
    <row r="1238" hidden="1">
      <c r="K1238" s="2"/>
    </row>
    <row r="1239" hidden="1">
      <c r="K1239" s="2"/>
    </row>
    <row r="1240" hidden="1">
      <c r="K1240" s="2"/>
    </row>
    <row r="1241" hidden="1">
      <c r="K1241" s="2"/>
    </row>
    <row r="1242" hidden="1">
      <c r="K1242" s="2"/>
    </row>
    <row r="1243" hidden="1">
      <c r="K1243" s="2"/>
    </row>
    <row r="1244" hidden="1">
      <c r="K1244" s="2"/>
    </row>
    <row r="1245" hidden="1">
      <c r="K1245" s="2"/>
    </row>
    <row r="1246" hidden="1">
      <c r="K1246" s="2"/>
    </row>
    <row r="1247" hidden="1">
      <c r="K1247" s="2"/>
    </row>
    <row r="1248" hidden="1">
      <c r="K1248" s="2"/>
    </row>
    <row r="1249" hidden="1">
      <c r="K1249" s="2"/>
    </row>
    <row r="1250" hidden="1">
      <c r="K1250" s="2"/>
    </row>
    <row r="1251" hidden="1">
      <c r="K1251" s="2"/>
    </row>
    <row r="1252" hidden="1">
      <c r="K1252" s="2"/>
    </row>
    <row r="1253" hidden="1">
      <c r="K1253" s="2"/>
    </row>
    <row r="1254" hidden="1">
      <c r="K1254" s="2"/>
    </row>
    <row r="1255" hidden="1">
      <c r="K1255" s="2"/>
    </row>
    <row r="1256" hidden="1">
      <c r="K1256" s="2"/>
    </row>
    <row r="1257" hidden="1">
      <c r="K1257" s="2"/>
    </row>
    <row r="1258" hidden="1">
      <c r="K1258" s="2"/>
    </row>
    <row r="1259" hidden="1">
      <c r="K1259" s="2"/>
    </row>
    <row r="1260" hidden="1">
      <c r="K1260" s="2"/>
    </row>
    <row r="1261" hidden="1">
      <c r="K1261" s="2"/>
    </row>
    <row r="1262" hidden="1">
      <c r="K1262" s="2"/>
    </row>
    <row r="1263" hidden="1">
      <c r="K1263" s="2"/>
    </row>
    <row r="1264" hidden="1">
      <c r="K1264" s="2"/>
    </row>
    <row r="1265" hidden="1">
      <c r="K1265" s="2"/>
    </row>
    <row r="1266" hidden="1">
      <c r="K1266" s="2"/>
    </row>
    <row r="1267" hidden="1">
      <c r="K1267" s="2"/>
    </row>
    <row r="1268" hidden="1">
      <c r="K1268" s="2"/>
    </row>
    <row r="1269" hidden="1">
      <c r="K1269" s="2"/>
    </row>
    <row r="1270" hidden="1">
      <c r="K1270" s="2"/>
    </row>
    <row r="1271" hidden="1">
      <c r="K1271" s="2"/>
    </row>
    <row r="1272" hidden="1">
      <c r="K1272" s="2"/>
    </row>
    <row r="1273" hidden="1">
      <c r="K1273" s="2"/>
    </row>
    <row r="1274" hidden="1">
      <c r="K1274" s="2"/>
    </row>
    <row r="1275" hidden="1">
      <c r="K1275" s="2"/>
    </row>
    <row r="1276" hidden="1">
      <c r="K1276" s="2"/>
    </row>
    <row r="1277" hidden="1">
      <c r="K1277" s="2"/>
    </row>
    <row r="1278" hidden="1">
      <c r="K1278" s="2"/>
    </row>
    <row r="1279" hidden="1">
      <c r="K1279" s="2"/>
    </row>
    <row r="1280" hidden="1">
      <c r="K1280" s="2"/>
    </row>
    <row r="1281" hidden="1">
      <c r="K1281" s="2"/>
    </row>
    <row r="1282" hidden="1">
      <c r="K1282" s="2"/>
    </row>
    <row r="1283" hidden="1">
      <c r="K1283" s="2"/>
    </row>
    <row r="1284" hidden="1">
      <c r="K1284" s="2"/>
    </row>
    <row r="1285" hidden="1">
      <c r="K1285" s="2"/>
    </row>
    <row r="1286" hidden="1">
      <c r="K1286" s="2"/>
    </row>
    <row r="1287" hidden="1">
      <c r="K1287" s="2"/>
    </row>
    <row r="1288" hidden="1">
      <c r="K1288" s="2"/>
    </row>
    <row r="1289" hidden="1">
      <c r="K1289" s="2"/>
    </row>
    <row r="1290" hidden="1">
      <c r="K1290" s="2"/>
    </row>
    <row r="1291" hidden="1">
      <c r="K1291" s="2"/>
    </row>
    <row r="1292" hidden="1">
      <c r="K1292" s="2"/>
    </row>
    <row r="1293" hidden="1">
      <c r="K1293" s="2"/>
    </row>
    <row r="1294" hidden="1">
      <c r="K1294" s="2"/>
    </row>
    <row r="1295" hidden="1">
      <c r="K1295" s="2"/>
    </row>
    <row r="1296" hidden="1">
      <c r="K1296" s="2"/>
    </row>
    <row r="1297" hidden="1">
      <c r="K1297" s="2"/>
    </row>
    <row r="1298" hidden="1">
      <c r="K1298" s="2"/>
    </row>
    <row r="1299" hidden="1">
      <c r="K1299" s="2"/>
    </row>
    <row r="1300" hidden="1">
      <c r="K1300" s="2"/>
    </row>
    <row r="1301" hidden="1">
      <c r="K1301" s="2"/>
    </row>
    <row r="1302" hidden="1">
      <c r="K1302" s="2"/>
    </row>
    <row r="1303" hidden="1">
      <c r="K1303" s="2"/>
    </row>
    <row r="1304" hidden="1">
      <c r="K1304" s="2"/>
    </row>
    <row r="1305" hidden="1">
      <c r="K1305" s="2"/>
    </row>
    <row r="1306" hidden="1">
      <c r="K1306" s="2"/>
    </row>
    <row r="1307" hidden="1">
      <c r="K1307" s="2"/>
    </row>
    <row r="1308" hidden="1">
      <c r="K1308" s="2"/>
    </row>
    <row r="1309" hidden="1">
      <c r="K1309" s="2"/>
    </row>
    <row r="1310" hidden="1">
      <c r="K1310" s="2"/>
    </row>
    <row r="1311" hidden="1">
      <c r="K1311" s="2"/>
    </row>
    <row r="1312" hidden="1">
      <c r="K1312" s="2"/>
    </row>
    <row r="1313" hidden="1">
      <c r="K1313" s="2"/>
    </row>
    <row r="1314" hidden="1">
      <c r="K1314" s="2"/>
    </row>
    <row r="1315" hidden="1">
      <c r="K1315" s="2"/>
    </row>
    <row r="1316" hidden="1">
      <c r="K1316" s="2"/>
    </row>
    <row r="1317" hidden="1">
      <c r="K1317" s="2"/>
    </row>
    <row r="1318" hidden="1">
      <c r="K1318" s="2"/>
    </row>
    <row r="1319" hidden="1">
      <c r="K1319" s="2"/>
    </row>
    <row r="1320" hidden="1">
      <c r="K1320" s="2"/>
    </row>
    <row r="1321" hidden="1">
      <c r="K1321" s="2"/>
    </row>
    <row r="1322" hidden="1">
      <c r="K1322" s="2"/>
    </row>
    <row r="1323" hidden="1">
      <c r="K1323" s="2"/>
    </row>
    <row r="1324" hidden="1">
      <c r="K1324" s="2"/>
    </row>
    <row r="1325" hidden="1">
      <c r="K1325" s="2"/>
    </row>
    <row r="1326" hidden="1">
      <c r="K1326" s="2"/>
    </row>
    <row r="1327" hidden="1">
      <c r="K1327" s="2"/>
    </row>
    <row r="1328" hidden="1">
      <c r="K1328" s="2"/>
    </row>
    <row r="1329" hidden="1">
      <c r="K1329" s="2"/>
    </row>
    <row r="1330" hidden="1">
      <c r="K1330" s="2"/>
    </row>
    <row r="1331" hidden="1">
      <c r="K1331" s="2"/>
    </row>
    <row r="1332" hidden="1">
      <c r="K1332" s="2"/>
    </row>
    <row r="1333" hidden="1">
      <c r="K1333" s="2"/>
    </row>
    <row r="1334" hidden="1">
      <c r="K1334" s="2"/>
    </row>
    <row r="1335" hidden="1">
      <c r="K1335" s="2"/>
    </row>
    <row r="1336" hidden="1">
      <c r="K1336" s="2"/>
    </row>
    <row r="1337" hidden="1">
      <c r="K1337" s="2"/>
    </row>
    <row r="1338" hidden="1">
      <c r="K1338" s="2"/>
    </row>
    <row r="1339" hidden="1">
      <c r="K1339" s="2"/>
    </row>
    <row r="1340" hidden="1">
      <c r="K1340" s="2"/>
    </row>
    <row r="1341" hidden="1">
      <c r="K1341" s="2"/>
    </row>
    <row r="1342" hidden="1">
      <c r="K1342" s="2"/>
    </row>
    <row r="1343" hidden="1">
      <c r="K1343" s="2"/>
    </row>
    <row r="1344" hidden="1">
      <c r="K1344" s="2"/>
    </row>
    <row r="1345" hidden="1">
      <c r="K1345" s="2"/>
    </row>
    <row r="1346" hidden="1">
      <c r="K1346" s="2"/>
    </row>
    <row r="1347" hidden="1">
      <c r="K1347" s="2"/>
    </row>
    <row r="1348" hidden="1">
      <c r="K1348" s="2"/>
    </row>
    <row r="1349" hidden="1">
      <c r="K1349" s="2"/>
    </row>
    <row r="1350" hidden="1">
      <c r="K1350" s="2"/>
    </row>
    <row r="1351" hidden="1">
      <c r="K1351" s="2"/>
    </row>
    <row r="1352" hidden="1">
      <c r="K1352" s="2"/>
    </row>
    <row r="1353" hidden="1">
      <c r="K1353" s="2"/>
    </row>
    <row r="1354" hidden="1">
      <c r="K1354" s="2"/>
    </row>
    <row r="1355" hidden="1">
      <c r="K1355" s="2"/>
    </row>
    <row r="1356" hidden="1">
      <c r="K1356" s="2"/>
    </row>
    <row r="1357" hidden="1">
      <c r="K1357" s="2"/>
    </row>
    <row r="1358" hidden="1">
      <c r="K1358" s="2"/>
    </row>
    <row r="1359" hidden="1">
      <c r="K1359" s="2"/>
    </row>
    <row r="1360" hidden="1">
      <c r="K1360" s="2"/>
    </row>
    <row r="1361" hidden="1">
      <c r="K1361" s="2"/>
    </row>
    <row r="1362" hidden="1">
      <c r="K1362" s="2"/>
    </row>
    <row r="1363" hidden="1">
      <c r="K1363" s="2"/>
    </row>
    <row r="1364" hidden="1">
      <c r="K1364" s="2"/>
    </row>
    <row r="1365" hidden="1">
      <c r="K1365" s="2"/>
    </row>
    <row r="1366" hidden="1">
      <c r="K1366" s="2"/>
    </row>
    <row r="1367" hidden="1">
      <c r="K1367" s="2"/>
    </row>
    <row r="1368" hidden="1">
      <c r="K1368" s="2"/>
    </row>
    <row r="1369" hidden="1">
      <c r="K1369" s="2"/>
    </row>
    <row r="1370" hidden="1">
      <c r="K1370" s="2"/>
    </row>
    <row r="1371" hidden="1">
      <c r="K1371" s="2"/>
    </row>
    <row r="1372" hidden="1">
      <c r="K1372" s="2"/>
    </row>
    <row r="1373" hidden="1">
      <c r="K1373" s="2"/>
    </row>
    <row r="1374" hidden="1">
      <c r="K1374" s="2"/>
    </row>
    <row r="1375" hidden="1">
      <c r="K1375" s="2"/>
    </row>
    <row r="1376" hidden="1">
      <c r="K1376" s="2"/>
    </row>
    <row r="1377" hidden="1">
      <c r="K1377" s="2"/>
    </row>
    <row r="1378" hidden="1">
      <c r="K1378" s="2"/>
    </row>
    <row r="1379" hidden="1">
      <c r="K1379" s="2"/>
    </row>
    <row r="1380" hidden="1">
      <c r="K1380" s="2"/>
    </row>
    <row r="1381" hidden="1">
      <c r="K1381" s="2"/>
    </row>
    <row r="1382" hidden="1">
      <c r="K1382" s="2"/>
    </row>
    <row r="1383" hidden="1">
      <c r="K1383" s="2"/>
    </row>
    <row r="1384" hidden="1">
      <c r="K1384" s="2"/>
    </row>
    <row r="1385" hidden="1">
      <c r="K1385" s="2"/>
    </row>
    <row r="1386" hidden="1">
      <c r="K1386" s="2"/>
    </row>
    <row r="1387" hidden="1">
      <c r="K1387" s="2"/>
    </row>
    <row r="1388" hidden="1">
      <c r="K1388" s="2"/>
    </row>
    <row r="1389" hidden="1">
      <c r="K1389" s="2"/>
    </row>
    <row r="1390" hidden="1">
      <c r="K1390" s="2"/>
    </row>
    <row r="1391" hidden="1">
      <c r="K1391" s="2"/>
    </row>
    <row r="1392" hidden="1">
      <c r="K1392" s="2"/>
    </row>
    <row r="1393" hidden="1">
      <c r="K1393" s="2"/>
    </row>
    <row r="1394" hidden="1">
      <c r="K1394" s="2"/>
    </row>
    <row r="1395" hidden="1">
      <c r="K1395" s="2"/>
    </row>
    <row r="1396" hidden="1">
      <c r="K1396" s="2"/>
    </row>
    <row r="1397" hidden="1">
      <c r="K1397" s="2"/>
    </row>
    <row r="1398" hidden="1">
      <c r="K1398" s="2"/>
    </row>
    <row r="1399" hidden="1">
      <c r="K1399" s="2"/>
    </row>
    <row r="1400" hidden="1">
      <c r="K1400" s="2"/>
    </row>
    <row r="1401" hidden="1">
      <c r="K1401" s="2"/>
    </row>
    <row r="1402" hidden="1">
      <c r="K1402" s="2"/>
    </row>
    <row r="1403" hidden="1">
      <c r="K1403" s="2"/>
    </row>
    <row r="1404" hidden="1">
      <c r="K1404" s="2"/>
    </row>
    <row r="1405" hidden="1">
      <c r="K1405" s="2"/>
    </row>
    <row r="1406" hidden="1">
      <c r="K1406" s="2"/>
    </row>
    <row r="1407" hidden="1">
      <c r="K1407" s="2"/>
    </row>
    <row r="1408" hidden="1">
      <c r="K1408" s="2"/>
    </row>
    <row r="1409" hidden="1">
      <c r="K1409" s="2"/>
    </row>
    <row r="1410" hidden="1">
      <c r="K1410" s="2"/>
    </row>
    <row r="1411" hidden="1">
      <c r="K1411" s="2"/>
    </row>
    <row r="1412" hidden="1">
      <c r="K1412" s="2"/>
    </row>
    <row r="1413" hidden="1">
      <c r="K1413" s="2"/>
    </row>
    <row r="1414" hidden="1">
      <c r="K1414" s="2"/>
    </row>
    <row r="1415" hidden="1">
      <c r="K1415" s="2"/>
    </row>
    <row r="1416" hidden="1">
      <c r="K1416" s="2"/>
    </row>
    <row r="1417" hidden="1">
      <c r="K1417" s="2"/>
    </row>
    <row r="1418" hidden="1">
      <c r="K1418" s="2"/>
    </row>
    <row r="1419" hidden="1">
      <c r="K1419" s="2"/>
    </row>
    <row r="1420" hidden="1">
      <c r="K1420" s="2"/>
    </row>
    <row r="1421" hidden="1">
      <c r="K1421" s="2"/>
    </row>
    <row r="1422" hidden="1">
      <c r="K1422" s="2"/>
    </row>
    <row r="1423" hidden="1">
      <c r="K1423" s="2"/>
    </row>
    <row r="1424" hidden="1">
      <c r="K1424" s="2"/>
    </row>
    <row r="1425" hidden="1">
      <c r="K1425" s="2"/>
    </row>
    <row r="1426" hidden="1">
      <c r="K1426" s="2"/>
    </row>
    <row r="1427" hidden="1">
      <c r="K1427" s="2"/>
    </row>
    <row r="1428" hidden="1">
      <c r="K1428" s="2"/>
    </row>
    <row r="1429" hidden="1">
      <c r="K1429" s="2"/>
    </row>
    <row r="1430" hidden="1">
      <c r="K1430" s="2"/>
    </row>
    <row r="1431" hidden="1">
      <c r="K1431" s="2"/>
    </row>
    <row r="1432" hidden="1">
      <c r="K1432" s="2"/>
    </row>
    <row r="1433" hidden="1">
      <c r="K1433" s="2"/>
    </row>
    <row r="1434" hidden="1">
      <c r="K1434" s="2"/>
    </row>
    <row r="1435" hidden="1">
      <c r="K1435" s="2"/>
    </row>
    <row r="1436" hidden="1">
      <c r="K1436" s="2"/>
    </row>
    <row r="1437" hidden="1">
      <c r="K1437" s="2"/>
    </row>
    <row r="1438" hidden="1">
      <c r="K1438" s="2"/>
    </row>
    <row r="1439" hidden="1">
      <c r="K1439" s="2"/>
    </row>
    <row r="1440" hidden="1">
      <c r="K1440" s="2"/>
    </row>
    <row r="1441" hidden="1">
      <c r="K1441" s="2"/>
    </row>
    <row r="1442" hidden="1">
      <c r="K1442" s="2"/>
    </row>
    <row r="1443" hidden="1">
      <c r="K1443" s="2"/>
    </row>
    <row r="1444" hidden="1">
      <c r="K1444" s="2"/>
    </row>
    <row r="1445" hidden="1">
      <c r="K1445" s="2"/>
    </row>
    <row r="1446" hidden="1">
      <c r="K1446" s="2"/>
    </row>
    <row r="1447" hidden="1">
      <c r="K1447" s="2"/>
    </row>
    <row r="1448" hidden="1">
      <c r="K1448" s="2"/>
    </row>
    <row r="1449" hidden="1">
      <c r="K1449" s="2"/>
    </row>
    <row r="1450" hidden="1">
      <c r="K1450" s="2"/>
    </row>
    <row r="1451" hidden="1">
      <c r="K1451" s="2"/>
    </row>
    <row r="1452" hidden="1">
      <c r="K1452" s="2"/>
    </row>
    <row r="1453" hidden="1">
      <c r="K1453" s="2"/>
    </row>
    <row r="1454" hidden="1">
      <c r="K1454" s="2"/>
    </row>
    <row r="1455" hidden="1">
      <c r="K1455" s="2"/>
    </row>
    <row r="1456" hidden="1">
      <c r="K1456" s="2"/>
    </row>
    <row r="1457" hidden="1">
      <c r="K1457" s="2"/>
    </row>
    <row r="1458" hidden="1">
      <c r="K1458" s="2"/>
    </row>
    <row r="1459" hidden="1">
      <c r="K1459" s="2"/>
    </row>
    <row r="1460" hidden="1">
      <c r="K1460" s="2"/>
    </row>
    <row r="1461" hidden="1">
      <c r="K1461" s="2"/>
    </row>
    <row r="1462" hidden="1">
      <c r="K1462" s="2"/>
    </row>
    <row r="1463" hidden="1">
      <c r="K1463" s="2"/>
    </row>
    <row r="1464" hidden="1">
      <c r="K1464" s="2"/>
    </row>
    <row r="1465" hidden="1">
      <c r="K1465" s="2"/>
    </row>
    <row r="1466" hidden="1">
      <c r="K1466" s="2"/>
    </row>
    <row r="1467" hidden="1">
      <c r="K1467" s="2"/>
    </row>
    <row r="1468" hidden="1">
      <c r="K1468" s="2"/>
    </row>
    <row r="1469" hidden="1">
      <c r="K1469" s="2"/>
    </row>
    <row r="1470" hidden="1">
      <c r="K1470" s="2"/>
    </row>
    <row r="1471" hidden="1">
      <c r="K1471" s="2"/>
    </row>
    <row r="1472" hidden="1">
      <c r="K1472" s="2"/>
    </row>
    <row r="1473" hidden="1">
      <c r="K1473" s="2"/>
    </row>
    <row r="1474" hidden="1">
      <c r="K1474" s="2"/>
    </row>
    <row r="1475" hidden="1">
      <c r="K1475" s="2"/>
    </row>
    <row r="1476" hidden="1">
      <c r="K1476" s="2"/>
    </row>
    <row r="1477" hidden="1">
      <c r="K1477" s="2"/>
    </row>
    <row r="1478" hidden="1">
      <c r="K1478" s="2"/>
    </row>
    <row r="1479" hidden="1">
      <c r="K1479" s="2"/>
    </row>
    <row r="1480" hidden="1">
      <c r="K1480" s="2"/>
    </row>
    <row r="1481" hidden="1">
      <c r="K1481" s="2"/>
    </row>
    <row r="1482" hidden="1">
      <c r="K1482" s="2"/>
    </row>
    <row r="1483" hidden="1">
      <c r="K1483" s="2"/>
    </row>
    <row r="1484" hidden="1">
      <c r="K1484" s="2"/>
    </row>
    <row r="1485" hidden="1">
      <c r="K1485" s="2"/>
    </row>
    <row r="1486" hidden="1">
      <c r="K1486" s="2"/>
    </row>
    <row r="1487" hidden="1">
      <c r="K1487" s="2"/>
    </row>
    <row r="1488" hidden="1">
      <c r="K1488" s="2"/>
    </row>
    <row r="1489" hidden="1">
      <c r="K1489" s="2"/>
    </row>
    <row r="1490" hidden="1">
      <c r="K1490" s="2"/>
    </row>
    <row r="1491" hidden="1">
      <c r="K1491" s="2"/>
    </row>
    <row r="1492" hidden="1">
      <c r="K1492" s="2"/>
    </row>
    <row r="1493" hidden="1">
      <c r="K1493" s="2"/>
    </row>
    <row r="1494" hidden="1">
      <c r="K1494" s="2"/>
    </row>
    <row r="1495" hidden="1">
      <c r="K1495" s="2"/>
    </row>
    <row r="1496" hidden="1">
      <c r="K1496" s="2"/>
    </row>
    <row r="1497" hidden="1">
      <c r="K1497" s="2"/>
    </row>
    <row r="1498" hidden="1">
      <c r="K1498" s="2"/>
    </row>
    <row r="1499" hidden="1">
      <c r="K1499" s="2"/>
    </row>
    <row r="1500" hidden="1">
      <c r="K1500" s="2"/>
    </row>
    <row r="1501" hidden="1">
      <c r="K1501" s="2"/>
    </row>
    <row r="1502" hidden="1">
      <c r="K1502" s="2"/>
    </row>
    <row r="1503" hidden="1">
      <c r="K1503" s="2"/>
    </row>
    <row r="1504" hidden="1">
      <c r="K1504" s="2"/>
    </row>
    <row r="1505" hidden="1">
      <c r="K1505" s="2"/>
    </row>
    <row r="1506" hidden="1">
      <c r="K1506" s="2"/>
    </row>
    <row r="1507" hidden="1">
      <c r="K1507" s="2"/>
    </row>
    <row r="1508" hidden="1">
      <c r="K1508" s="2"/>
    </row>
    <row r="1509" hidden="1">
      <c r="K1509" s="2"/>
    </row>
    <row r="1510" hidden="1">
      <c r="K1510" s="2"/>
    </row>
    <row r="1511" hidden="1">
      <c r="K1511" s="2"/>
    </row>
    <row r="1512" hidden="1">
      <c r="K1512" s="2"/>
    </row>
    <row r="1513" hidden="1">
      <c r="K1513" s="2"/>
    </row>
    <row r="1514" hidden="1">
      <c r="K1514" s="2"/>
    </row>
    <row r="1515" hidden="1">
      <c r="K1515" s="2"/>
    </row>
    <row r="1516" hidden="1">
      <c r="K1516" s="2"/>
    </row>
    <row r="1517" hidden="1">
      <c r="K1517" s="2"/>
    </row>
    <row r="1518" hidden="1">
      <c r="K1518" s="2"/>
    </row>
    <row r="1519" hidden="1">
      <c r="K1519" s="2"/>
    </row>
    <row r="1520" hidden="1">
      <c r="K1520" s="2"/>
    </row>
    <row r="1521" hidden="1">
      <c r="K1521" s="2"/>
    </row>
    <row r="1522" hidden="1">
      <c r="K1522" s="2"/>
    </row>
    <row r="1523" hidden="1">
      <c r="K1523" s="2"/>
    </row>
    <row r="1524" hidden="1">
      <c r="K1524" s="2"/>
    </row>
    <row r="1525" hidden="1">
      <c r="K1525" s="2"/>
    </row>
    <row r="1526" hidden="1">
      <c r="K1526" s="2"/>
    </row>
    <row r="1527" hidden="1">
      <c r="K1527" s="2"/>
    </row>
    <row r="1528" hidden="1">
      <c r="K1528" s="2"/>
    </row>
    <row r="1529" hidden="1">
      <c r="K1529" s="2"/>
    </row>
    <row r="1530" hidden="1">
      <c r="K1530" s="2"/>
    </row>
    <row r="1531" hidden="1">
      <c r="K1531" s="2"/>
    </row>
    <row r="1532" hidden="1">
      <c r="K1532" s="2"/>
    </row>
    <row r="1533" hidden="1">
      <c r="K1533" s="2"/>
    </row>
    <row r="1534" hidden="1">
      <c r="K1534" s="2"/>
    </row>
    <row r="1535" hidden="1">
      <c r="K1535" s="2"/>
    </row>
    <row r="1536" hidden="1">
      <c r="K1536" s="2"/>
    </row>
    <row r="1537" hidden="1">
      <c r="K1537" s="2"/>
    </row>
    <row r="1538" hidden="1">
      <c r="K1538" s="2"/>
    </row>
    <row r="1539" hidden="1">
      <c r="K1539" s="2"/>
    </row>
    <row r="1540" hidden="1">
      <c r="K1540" s="2"/>
    </row>
    <row r="1541" hidden="1">
      <c r="K1541" s="2"/>
    </row>
    <row r="1542" hidden="1">
      <c r="K1542" s="2"/>
    </row>
    <row r="1543" hidden="1">
      <c r="K1543" s="2"/>
    </row>
    <row r="1544" hidden="1">
      <c r="K1544" s="2"/>
    </row>
    <row r="1545" hidden="1">
      <c r="K1545" s="2"/>
    </row>
    <row r="1546" hidden="1">
      <c r="K1546" s="2"/>
    </row>
    <row r="1547" hidden="1">
      <c r="K1547" s="2"/>
    </row>
    <row r="1548" hidden="1">
      <c r="K1548" s="2"/>
    </row>
    <row r="1549" hidden="1">
      <c r="K1549" s="2"/>
    </row>
    <row r="1550" hidden="1">
      <c r="K1550" s="2"/>
    </row>
    <row r="1551" hidden="1">
      <c r="K1551" s="2"/>
    </row>
    <row r="1552" hidden="1">
      <c r="K1552" s="2"/>
    </row>
    <row r="1553" hidden="1">
      <c r="K1553" s="2"/>
    </row>
    <row r="1554" hidden="1">
      <c r="K1554" s="2"/>
    </row>
    <row r="1555" hidden="1">
      <c r="K1555" s="2"/>
    </row>
    <row r="1556" hidden="1">
      <c r="K1556" s="2"/>
    </row>
    <row r="1557" hidden="1">
      <c r="K1557" s="2"/>
    </row>
    <row r="1558" hidden="1">
      <c r="K1558" s="2"/>
    </row>
    <row r="1559" hidden="1">
      <c r="K1559" s="2"/>
    </row>
    <row r="1560" hidden="1">
      <c r="K1560" s="2"/>
    </row>
    <row r="1561" hidden="1">
      <c r="K1561" s="2"/>
    </row>
    <row r="1562" hidden="1">
      <c r="K1562" s="2"/>
    </row>
    <row r="1563" hidden="1">
      <c r="K1563" s="2"/>
    </row>
    <row r="1564" hidden="1">
      <c r="K1564" s="2"/>
    </row>
    <row r="1565" hidden="1">
      <c r="K1565" s="2"/>
    </row>
    <row r="1566" hidden="1">
      <c r="K1566" s="2"/>
    </row>
    <row r="1567" hidden="1">
      <c r="K1567" s="2"/>
    </row>
    <row r="1568" hidden="1">
      <c r="K1568" s="2"/>
    </row>
    <row r="1569" hidden="1">
      <c r="K1569" s="2"/>
    </row>
    <row r="1570" hidden="1">
      <c r="K1570" s="2"/>
    </row>
    <row r="1571" hidden="1">
      <c r="K1571" s="2"/>
    </row>
    <row r="1572" hidden="1">
      <c r="K1572" s="2"/>
    </row>
    <row r="1573" hidden="1">
      <c r="K1573" s="2"/>
    </row>
    <row r="1574" hidden="1">
      <c r="K1574" s="2"/>
    </row>
    <row r="1575" hidden="1">
      <c r="K1575" s="2"/>
    </row>
    <row r="1576" hidden="1">
      <c r="K1576" s="2"/>
    </row>
    <row r="1577" hidden="1">
      <c r="K1577" s="2"/>
    </row>
    <row r="1578" hidden="1">
      <c r="K1578" s="2"/>
    </row>
    <row r="1579" hidden="1">
      <c r="K1579" s="2"/>
    </row>
    <row r="1580" hidden="1">
      <c r="K1580" s="2"/>
    </row>
    <row r="1581" hidden="1">
      <c r="K1581" s="2"/>
    </row>
    <row r="1582" hidden="1">
      <c r="K1582" s="2"/>
    </row>
    <row r="1583" hidden="1">
      <c r="K1583" s="2"/>
    </row>
    <row r="1584" hidden="1">
      <c r="K1584" s="2"/>
    </row>
    <row r="1585" hidden="1">
      <c r="K1585" s="2"/>
    </row>
    <row r="1586" hidden="1">
      <c r="K1586" s="2"/>
    </row>
    <row r="1587" hidden="1">
      <c r="K1587" s="2"/>
    </row>
    <row r="1588" hidden="1">
      <c r="K1588" s="2"/>
    </row>
    <row r="1589" hidden="1">
      <c r="K1589" s="2"/>
    </row>
    <row r="1590" hidden="1">
      <c r="K1590" s="2"/>
    </row>
    <row r="1591" hidden="1">
      <c r="K1591" s="2"/>
    </row>
    <row r="1592" hidden="1">
      <c r="K1592" s="2"/>
    </row>
    <row r="1593" hidden="1">
      <c r="K1593" s="2"/>
    </row>
    <row r="1594" hidden="1">
      <c r="K1594" s="2"/>
    </row>
    <row r="1595" hidden="1">
      <c r="K1595" s="2"/>
    </row>
    <row r="1596" hidden="1">
      <c r="K1596" s="2"/>
    </row>
    <row r="1597" hidden="1">
      <c r="K1597" s="2"/>
    </row>
    <row r="1598" hidden="1">
      <c r="K1598" s="2"/>
    </row>
    <row r="1599" hidden="1">
      <c r="K1599" s="2"/>
    </row>
    <row r="1600" hidden="1">
      <c r="K1600" s="2"/>
    </row>
    <row r="1601" hidden="1">
      <c r="K1601" s="2"/>
    </row>
    <row r="1602" hidden="1">
      <c r="K1602" s="2"/>
    </row>
    <row r="1603" hidden="1">
      <c r="K1603" s="2"/>
    </row>
    <row r="1604" hidden="1">
      <c r="K1604" s="2"/>
    </row>
    <row r="1605" hidden="1">
      <c r="K1605" s="2"/>
    </row>
    <row r="1606" hidden="1">
      <c r="K1606" s="2"/>
    </row>
    <row r="1607" hidden="1">
      <c r="K1607" s="2"/>
    </row>
    <row r="1608" hidden="1">
      <c r="K1608" s="2"/>
    </row>
    <row r="1609" hidden="1">
      <c r="K1609" s="2"/>
    </row>
    <row r="1610" hidden="1">
      <c r="K1610" s="2"/>
    </row>
    <row r="1611" hidden="1">
      <c r="K1611" s="2"/>
    </row>
    <row r="1612" hidden="1">
      <c r="K1612" s="2"/>
    </row>
    <row r="1613" hidden="1">
      <c r="K1613" s="2"/>
    </row>
    <row r="1614" hidden="1">
      <c r="K1614" s="2"/>
    </row>
    <row r="1615" hidden="1">
      <c r="K1615" s="2"/>
    </row>
    <row r="1616" hidden="1">
      <c r="K1616" s="2"/>
    </row>
    <row r="1617" hidden="1">
      <c r="K1617" s="2"/>
    </row>
    <row r="1618" hidden="1">
      <c r="K1618" s="2"/>
    </row>
    <row r="1619" hidden="1">
      <c r="K1619" s="2"/>
    </row>
    <row r="1620" hidden="1">
      <c r="K1620" s="2"/>
    </row>
    <row r="1621" hidden="1">
      <c r="K1621" s="2"/>
    </row>
    <row r="1622" hidden="1">
      <c r="K1622" s="2"/>
    </row>
    <row r="1623" hidden="1">
      <c r="K1623" s="2"/>
    </row>
    <row r="1624" hidden="1">
      <c r="K1624" s="2"/>
    </row>
    <row r="1625" hidden="1">
      <c r="K1625" s="2"/>
    </row>
    <row r="1626" hidden="1">
      <c r="K1626" s="2"/>
    </row>
    <row r="1627" hidden="1">
      <c r="K1627" s="2"/>
    </row>
    <row r="1628" hidden="1">
      <c r="K1628" s="2"/>
    </row>
    <row r="1629" hidden="1">
      <c r="K1629" s="2"/>
    </row>
    <row r="1630" hidden="1">
      <c r="K1630" s="2"/>
    </row>
    <row r="1631" hidden="1">
      <c r="K1631" s="2"/>
    </row>
    <row r="1632" hidden="1">
      <c r="K1632" s="2"/>
    </row>
    <row r="1633" hidden="1">
      <c r="K1633" s="2"/>
    </row>
    <row r="1634" hidden="1">
      <c r="K1634" s="2"/>
    </row>
    <row r="1635" hidden="1">
      <c r="K1635" s="2"/>
    </row>
    <row r="1636" hidden="1">
      <c r="K1636" s="2"/>
    </row>
    <row r="1637" hidden="1">
      <c r="K1637" s="2"/>
    </row>
    <row r="1638" hidden="1">
      <c r="K1638" s="2"/>
    </row>
    <row r="1639" hidden="1">
      <c r="K1639" s="2"/>
    </row>
    <row r="1640" hidden="1">
      <c r="K1640" s="2"/>
    </row>
    <row r="1641" hidden="1">
      <c r="K1641" s="2"/>
    </row>
    <row r="1642" hidden="1">
      <c r="K1642" s="2"/>
    </row>
    <row r="1643" hidden="1">
      <c r="K1643" s="2"/>
    </row>
    <row r="1644" hidden="1">
      <c r="K1644" s="2"/>
    </row>
    <row r="1645" hidden="1">
      <c r="K1645" s="2"/>
    </row>
    <row r="1646" hidden="1">
      <c r="K1646" s="2"/>
    </row>
    <row r="1647" hidden="1">
      <c r="K1647" s="2"/>
    </row>
    <row r="1648" hidden="1">
      <c r="K1648" s="2"/>
    </row>
    <row r="1649" hidden="1">
      <c r="K1649" s="2"/>
    </row>
    <row r="1650" hidden="1">
      <c r="K1650" s="2"/>
    </row>
    <row r="1651" hidden="1">
      <c r="K1651" s="2"/>
    </row>
    <row r="1652" hidden="1">
      <c r="K1652" s="2"/>
    </row>
    <row r="1653" hidden="1">
      <c r="K1653" s="2"/>
    </row>
    <row r="1654" hidden="1">
      <c r="K1654" s="2"/>
    </row>
    <row r="1655" hidden="1">
      <c r="K1655" s="2"/>
    </row>
    <row r="1656" hidden="1">
      <c r="K1656" s="2"/>
    </row>
    <row r="1657" hidden="1">
      <c r="K1657" s="2"/>
    </row>
    <row r="1658" hidden="1">
      <c r="K1658" s="2"/>
    </row>
    <row r="1659" hidden="1">
      <c r="K1659" s="2"/>
    </row>
    <row r="1660" hidden="1">
      <c r="K1660" s="2"/>
    </row>
    <row r="1661" hidden="1">
      <c r="K1661" s="2"/>
    </row>
    <row r="1662" hidden="1">
      <c r="K1662" s="2"/>
    </row>
    <row r="1663" hidden="1">
      <c r="K1663" s="2"/>
    </row>
    <row r="1664" hidden="1">
      <c r="K1664" s="2"/>
    </row>
    <row r="1665" hidden="1">
      <c r="K1665" s="2"/>
    </row>
    <row r="1666" hidden="1">
      <c r="K1666" s="2"/>
    </row>
    <row r="1667" hidden="1">
      <c r="K1667" s="2"/>
    </row>
    <row r="1668" hidden="1">
      <c r="K1668" s="2"/>
    </row>
    <row r="1669" hidden="1">
      <c r="K1669" s="2"/>
    </row>
    <row r="1670" hidden="1">
      <c r="K1670" s="2"/>
    </row>
    <row r="1671" hidden="1">
      <c r="K1671" s="2"/>
    </row>
    <row r="1672" hidden="1">
      <c r="K1672" s="2"/>
    </row>
    <row r="1673" hidden="1">
      <c r="K1673" s="2"/>
    </row>
    <row r="1674" hidden="1">
      <c r="K1674" s="2"/>
    </row>
    <row r="1675" hidden="1">
      <c r="K1675" s="2"/>
    </row>
    <row r="1676" hidden="1">
      <c r="K1676" s="2"/>
    </row>
    <row r="1677" hidden="1">
      <c r="K1677" s="2"/>
    </row>
    <row r="1678" hidden="1">
      <c r="K1678" s="2"/>
    </row>
    <row r="1679" hidden="1">
      <c r="K1679" s="2"/>
    </row>
    <row r="1680" hidden="1">
      <c r="K1680" s="2"/>
    </row>
    <row r="1681" hidden="1">
      <c r="K1681" s="2"/>
    </row>
    <row r="1682" hidden="1">
      <c r="K1682" s="2"/>
    </row>
    <row r="1683" hidden="1">
      <c r="K1683" s="2"/>
    </row>
    <row r="1684" hidden="1">
      <c r="K1684" s="2"/>
    </row>
    <row r="1685" hidden="1">
      <c r="K1685" s="2"/>
    </row>
    <row r="1686" hidden="1">
      <c r="K1686" s="2"/>
    </row>
    <row r="1687" hidden="1">
      <c r="K1687" s="2"/>
    </row>
    <row r="1688" hidden="1">
      <c r="K1688" s="2"/>
    </row>
    <row r="1689" hidden="1">
      <c r="K1689" s="2"/>
    </row>
    <row r="1690" hidden="1">
      <c r="K1690" s="2"/>
    </row>
    <row r="1691" hidden="1">
      <c r="K1691" s="2"/>
    </row>
    <row r="1692" hidden="1">
      <c r="K1692" s="2"/>
    </row>
    <row r="1693" hidden="1">
      <c r="K1693" s="2"/>
    </row>
    <row r="1694" hidden="1">
      <c r="K1694" s="2"/>
    </row>
    <row r="1695" hidden="1">
      <c r="K1695" s="2"/>
    </row>
    <row r="1696" hidden="1">
      <c r="K1696" s="2"/>
    </row>
    <row r="1697" hidden="1">
      <c r="K1697" s="2"/>
    </row>
    <row r="1698" hidden="1">
      <c r="K1698" s="2"/>
    </row>
    <row r="1699" hidden="1">
      <c r="K1699" s="2"/>
    </row>
    <row r="1700" hidden="1">
      <c r="K1700" s="2"/>
    </row>
    <row r="1701" hidden="1">
      <c r="K1701" s="2"/>
    </row>
    <row r="1702" hidden="1">
      <c r="K1702" s="2"/>
    </row>
    <row r="1703" hidden="1">
      <c r="K1703" s="2"/>
    </row>
    <row r="1704" hidden="1">
      <c r="K1704" s="2"/>
    </row>
    <row r="1705" hidden="1">
      <c r="K1705" s="2"/>
    </row>
    <row r="1706" hidden="1">
      <c r="K1706" s="2"/>
    </row>
    <row r="1707" hidden="1">
      <c r="K1707" s="2"/>
    </row>
    <row r="1708" hidden="1">
      <c r="K1708" s="2"/>
    </row>
    <row r="1709" hidden="1">
      <c r="K1709" s="2"/>
    </row>
    <row r="1710" hidden="1">
      <c r="K1710" s="2"/>
    </row>
    <row r="1711" hidden="1">
      <c r="K1711" s="2"/>
    </row>
    <row r="1712" hidden="1">
      <c r="K1712" s="2"/>
    </row>
    <row r="1713" hidden="1">
      <c r="K1713" s="2"/>
    </row>
    <row r="1714" hidden="1">
      <c r="K1714" s="2"/>
    </row>
    <row r="1715" hidden="1">
      <c r="K1715" s="2"/>
    </row>
    <row r="1716" hidden="1">
      <c r="K1716" s="2"/>
    </row>
    <row r="1717" hidden="1">
      <c r="K1717" s="2"/>
    </row>
    <row r="1718" hidden="1">
      <c r="K1718" s="2"/>
    </row>
    <row r="1719" hidden="1">
      <c r="K1719" s="2"/>
    </row>
    <row r="1720" hidden="1">
      <c r="K1720" s="2"/>
    </row>
    <row r="1721" hidden="1">
      <c r="K1721" s="2"/>
    </row>
    <row r="1722" hidden="1">
      <c r="K1722" s="2"/>
    </row>
    <row r="1723" hidden="1">
      <c r="K1723" s="2"/>
    </row>
    <row r="1724" hidden="1">
      <c r="K1724" s="2"/>
    </row>
    <row r="1725" hidden="1">
      <c r="K1725" s="2"/>
    </row>
    <row r="1726" hidden="1">
      <c r="K1726" s="2"/>
    </row>
    <row r="1727" hidden="1">
      <c r="K1727" s="2"/>
    </row>
    <row r="1728" hidden="1">
      <c r="K1728" s="2"/>
    </row>
    <row r="1729" hidden="1">
      <c r="K1729" s="2"/>
    </row>
    <row r="1730" hidden="1">
      <c r="K1730" s="2"/>
    </row>
    <row r="1731" hidden="1">
      <c r="K1731" s="2"/>
    </row>
    <row r="1732" hidden="1">
      <c r="K1732" s="2"/>
    </row>
    <row r="1733" hidden="1">
      <c r="K1733" s="2"/>
    </row>
    <row r="1734" hidden="1">
      <c r="K1734" s="2"/>
    </row>
    <row r="1735" hidden="1">
      <c r="K1735" s="2"/>
    </row>
    <row r="1736" hidden="1">
      <c r="K1736" s="2"/>
    </row>
    <row r="1737" hidden="1">
      <c r="K1737" s="2"/>
    </row>
    <row r="1738" hidden="1">
      <c r="K1738" s="2"/>
    </row>
    <row r="1739" hidden="1">
      <c r="K1739" s="2"/>
    </row>
    <row r="1740" hidden="1">
      <c r="K1740" s="2"/>
    </row>
    <row r="1741" hidden="1">
      <c r="K1741" s="2"/>
    </row>
    <row r="1742" hidden="1">
      <c r="K1742" s="2"/>
    </row>
    <row r="1743" hidden="1">
      <c r="K1743" s="2"/>
    </row>
    <row r="1744" hidden="1">
      <c r="K1744" s="2"/>
    </row>
    <row r="1745" hidden="1">
      <c r="K1745" s="2"/>
    </row>
    <row r="1746" hidden="1">
      <c r="K1746" s="2"/>
    </row>
    <row r="1747" hidden="1">
      <c r="K1747" s="2"/>
    </row>
    <row r="1748" hidden="1">
      <c r="K1748" s="2"/>
    </row>
    <row r="1749" hidden="1">
      <c r="K1749" s="2"/>
    </row>
    <row r="1750" hidden="1">
      <c r="K1750" s="2"/>
    </row>
    <row r="1751" hidden="1">
      <c r="K1751" s="2"/>
    </row>
    <row r="1752" hidden="1">
      <c r="K1752" s="2"/>
    </row>
    <row r="1753" hidden="1">
      <c r="K1753" s="2"/>
    </row>
    <row r="1754" hidden="1">
      <c r="K1754" s="2"/>
    </row>
    <row r="1755" hidden="1">
      <c r="K1755" s="2"/>
    </row>
    <row r="1756" hidden="1">
      <c r="K1756" s="2"/>
    </row>
    <row r="1757" hidden="1">
      <c r="K1757" s="2"/>
    </row>
    <row r="1758" hidden="1">
      <c r="K1758" s="2"/>
    </row>
    <row r="1759" hidden="1">
      <c r="K1759" s="2"/>
    </row>
    <row r="1760" hidden="1">
      <c r="K1760" s="2"/>
    </row>
    <row r="1761" hidden="1">
      <c r="K1761" s="2"/>
    </row>
    <row r="1762" hidden="1">
      <c r="K1762" s="2"/>
    </row>
    <row r="1763" hidden="1">
      <c r="K1763" s="2"/>
    </row>
    <row r="1764" hidden="1">
      <c r="K1764" s="2"/>
    </row>
    <row r="1765" hidden="1">
      <c r="K1765" s="2"/>
    </row>
    <row r="1766" hidden="1">
      <c r="K1766" s="2"/>
    </row>
    <row r="1767" hidden="1">
      <c r="K1767" s="2"/>
    </row>
    <row r="1768" hidden="1">
      <c r="K1768" s="2"/>
    </row>
    <row r="1769" hidden="1">
      <c r="K1769" s="2"/>
    </row>
    <row r="1770" hidden="1">
      <c r="K1770" s="2"/>
    </row>
    <row r="1771" hidden="1">
      <c r="K1771" s="2"/>
    </row>
    <row r="1772" hidden="1">
      <c r="K1772" s="2"/>
    </row>
    <row r="1773" hidden="1">
      <c r="K1773" s="2"/>
    </row>
    <row r="1774" hidden="1">
      <c r="K1774" s="2"/>
    </row>
    <row r="1775" hidden="1">
      <c r="K1775" s="2"/>
    </row>
    <row r="1776" hidden="1">
      <c r="K1776" s="2"/>
    </row>
    <row r="1777" hidden="1">
      <c r="K1777" s="2"/>
    </row>
    <row r="1778" hidden="1">
      <c r="K1778" s="2"/>
    </row>
    <row r="1779" hidden="1">
      <c r="K1779" s="2"/>
    </row>
    <row r="1780" hidden="1">
      <c r="K1780" s="2"/>
    </row>
    <row r="1781" hidden="1">
      <c r="K1781" s="2"/>
    </row>
    <row r="1782" hidden="1">
      <c r="K1782" s="2"/>
    </row>
    <row r="1783" hidden="1">
      <c r="K1783" s="2"/>
    </row>
    <row r="1784" hidden="1">
      <c r="K1784" s="2"/>
    </row>
    <row r="1785" hidden="1">
      <c r="K1785" s="2"/>
    </row>
    <row r="1786" hidden="1">
      <c r="K1786" s="2"/>
    </row>
    <row r="1787" hidden="1">
      <c r="K1787" s="2"/>
    </row>
    <row r="1788" hidden="1">
      <c r="K1788" s="2"/>
    </row>
    <row r="1789" hidden="1">
      <c r="K1789" s="2"/>
    </row>
    <row r="1790" hidden="1">
      <c r="K1790" s="2"/>
    </row>
    <row r="1791" hidden="1">
      <c r="K1791" s="2"/>
    </row>
    <row r="1792" hidden="1">
      <c r="K1792" s="2"/>
    </row>
    <row r="1793" hidden="1">
      <c r="K1793" s="2"/>
    </row>
    <row r="1794" hidden="1">
      <c r="K1794" s="2"/>
    </row>
    <row r="1795" hidden="1">
      <c r="K1795" s="2"/>
    </row>
    <row r="1796" hidden="1">
      <c r="K1796" s="2"/>
    </row>
    <row r="1797" hidden="1">
      <c r="K1797" s="2"/>
    </row>
    <row r="1798" hidden="1">
      <c r="K1798" s="2"/>
    </row>
    <row r="1799" hidden="1">
      <c r="K1799" s="2"/>
    </row>
    <row r="1800" hidden="1">
      <c r="K1800" s="2"/>
    </row>
    <row r="1801" hidden="1">
      <c r="K1801" s="2"/>
    </row>
    <row r="1802" hidden="1">
      <c r="K1802" s="2"/>
    </row>
    <row r="1803" hidden="1">
      <c r="K1803" s="2"/>
    </row>
    <row r="1804" hidden="1">
      <c r="K1804" s="2"/>
    </row>
    <row r="1805" hidden="1">
      <c r="K1805" s="2"/>
    </row>
    <row r="1806" hidden="1">
      <c r="K1806" s="2"/>
    </row>
    <row r="1807" hidden="1">
      <c r="K1807" s="2"/>
    </row>
    <row r="1808" hidden="1">
      <c r="K1808" s="2"/>
    </row>
    <row r="1809" hidden="1">
      <c r="K1809" s="2"/>
    </row>
    <row r="1810" hidden="1">
      <c r="K1810" s="2"/>
    </row>
    <row r="1811" hidden="1">
      <c r="K1811" s="2"/>
    </row>
    <row r="1812" hidden="1">
      <c r="K1812" s="2"/>
    </row>
    <row r="1813" hidden="1">
      <c r="K1813" s="2"/>
    </row>
    <row r="1814" hidden="1">
      <c r="K1814" s="2"/>
    </row>
    <row r="1815" hidden="1">
      <c r="K1815" s="2"/>
    </row>
    <row r="1816" hidden="1">
      <c r="K1816" s="2"/>
    </row>
    <row r="1817" hidden="1">
      <c r="K1817" s="2"/>
    </row>
    <row r="1818" hidden="1">
      <c r="K1818" s="2"/>
    </row>
    <row r="1819" hidden="1">
      <c r="K1819" s="2"/>
    </row>
    <row r="1820" hidden="1">
      <c r="K1820" s="2"/>
    </row>
    <row r="1821" hidden="1">
      <c r="K1821" s="2"/>
    </row>
    <row r="1822" hidden="1">
      <c r="K1822" s="2"/>
    </row>
    <row r="1823" hidden="1">
      <c r="K1823" s="2"/>
    </row>
    <row r="1824" hidden="1">
      <c r="K1824" s="2"/>
    </row>
    <row r="1825" hidden="1">
      <c r="K1825" s="2"/>
    </row>
    <row r="1826" hidden="1">
      <c r="K1826" s="2"/>
    </row>
    <row r="1827" hidden="1">
      <c r="K1827" s="2"/>
    </row>
    <row r="1828" hidden="1">
      <c r="K1828" s="2"/>
    </row>
    <row r="1829" hidden="1">
      <c r="K1829" s="2"/>
    </row>
    <row r="1830" hidden="1">
      <c r="K1830" s="2"/>
    </row>
    <row r="1831" hidden="1">
      <c r="K1831" s="2"/>
    </row>
    <row r="1832" hidden="1">
      <c r="K1832" s="2"/>
    </row>
    <row r="1833" hidden="1">
      <c r="K1833" s="2"/>
    </row>
    <row r="1834" hidden="1">
      <c r="K1834" s="2"/>
    </row>
    <row r="1835" hidden="1">
      <c r="K1835" s="2"/>
    </row>
    <row r="1836" hidden="1">
      <c r="K1836" s="2"/>
    </row>
    <row r="1837" hidden="1">
      <c r="K1837" s="2"/>
    </row>
    <row r="1838" hidden="1">
      <c r="K1838" s="2"/>
    </row>
    <row r="1839" hidden="1">
      <c r="K1839" s="2"/>
    </row>
    <row r="1840" hidden="1">
      <c r="K1840" s="2"/>
    </row>
    <row r="1841" hidden="1">
      <c r="K1841" s="2"/>
    </row>
    <row r="1842" hidden="1">
      <c r="K1842" s="2"/>
    </row>
    <row r="1843" hidden="1">
      <c r="K1843" s="2"/>
    </row>
    <row r="1844" hidden="1">
      <c r="K1844" s="2"/>
    </row>
    <row r="1845" hidden="1">
      <c r="K1845" s="2"/>
    </row>
    <row r="1846" hidden="1">
      <c r="K1846" s="2"/>
    </row>
    <row r="1847" hidden="1">
      <c r="K1847" s="2"/>
    </row>
    <row r="1848" hidden="1">
      <c r="K1848" s="2"/>
    </row>
    <row r="1849" hidden="1">
      <c r="K1849" s="2"/>
    </row>
    <row r="1850" hidden="1">
      <c r="K1850" s="2"/>
    </row>
    <row r="1851" hidden="1">
      <c r="K1851" s="2"/>
    </row>
    <row r="1852" hidden="1">
      <c r="K1852" s="2"/>
    </row>
    <row r="1853" hidden="1">
      <c r="K1853" s="2"/>
    </row>
    <row r="1854" hidden="1">
      <c r="K1854" s="2"/>
    </row>
    <row r="1855" hidden="1">
      <c r="K1855" s="2"/>
    </row>
    <row r="1856" hidden="1">
      <c r="K1856" s="2"/>
    </row>
    <row r="1857" hidden="1">
      <c r="K1857" s="2"/>
    </row>
    <row r="1858" hidden="1">
      <c r="K1858" s="2"/>
    </row>
    <row r="1859" hidden="1">
      <c r="K1859" s="2"/>
    </row>
    <row r="1860" hidden="1">
      <c r="K1860" s="2"/>
    </row>
    <row r="1861" hidden="1">
      <c r="K1861" s="2"/>
    </row>
    <row r="1862" hidden="1">
      <c r="K1862" s="2"/>
    </row>
    <row r="1863" hidden="1">
      <c r="K1863" s="2"/>
    </row>
    <row r="1864" hidden="1">
      <c r="K1864" s="2"/>
    </row>
    <row r="1865" hidden="1">
      <c r="K1865" s="2"/>
    </row>
    <row r="1866" hidden="1">
      <c r="K1866" s="2"/>
    </row>
    <row r="1867" hidden="1">
      <c r="K1867" s="2"/>
    </row>
    <row r="1868" hidden="1">
      <c r="K1868" s="2"/>
    </row>
    <row r="1869" hidden="1">
      <c r="K1869" s="2"/>
    </row>
    <row r="1870" hidden="1">
      <c r="K1870" s="2"/>
    </row>
    <row r="1871" hidden="1">
      <c r="K1871" s="2"/>
    </row>
    <row r="1872" hidden="1">
      <c r="K1872" s="2"/>
    </row>
    <row r="1873" hidden="1">
      <c r="K1873" s="2"/>
    </row>
    <row r="1874" hidden="1">
      <c r="K1874" s="2"/>
    </row>
    <row r="1875" hidden="1">
      <c r="K1875" s="2"/>
    </row>
    <row r="1876" hidden="1">
      <c r="K1876" s="2"/>
    </row>
    <row r="1877" hidden="1">
      <c r="K1877" s="2"/>
    </row>
    <row r="1878" hidden="1">
      <c r="K1878" s="2"/>
    </row>
    <row r="1879" hidden="1">
      <c r="K1879" s="2"/>
    </row>
    <row r="1880" hidden="1">
      <c r="K1880" s="2"/>
    </row>
    <row r="1881" hidden="1">
      <c r="K1881" s="2"/>
    </row>
    <row r="1882" hidden="1">
      <c r="K1882" s="2"/>
    </row>
    <row r="1883" hidden="1">
      <c r="K1883" s="2"/>
    </row>
    <row r="1884" hidden="1">
      <c r="K1884" s="2"/>
    </row>
    <row r="1885" hidden="1">
      <c r="K1885" s="2"/>
    </row>
    <row r="1886" hidden="1">
      <c r="K1886" s="2"/>
    </row>
    <row r="1887" hidden="1">
      <c r="K1887" s="2"/>
    </row>
    <row r="1888" hidden="1">
      <c r="K1888" s="2"/>
    </row>
    <row r="1889" hidden="1">
      <c r="K1889" s="2"/>
    </row>
    <row r="1890" hidden="1">
      <c r="K1890" s="2"/>
    </row>
    <row r="1891" hidden="1">
      <c r="K1891" s="2"/>
    </row>
    <row r="1892" hidden="1">
      <c r="K1892" s="2"/>
    </row>
    <row r="1893" hidden="1">
      <c r="K1893" s="2"/>
    </row>
    <row r="1894" hidden="1">
      <c r="K1894" s="2"/>
    </row>
    <row r="1895" hidden="1">
      <c r="K1895" s="2"/>
    </row>
    <row r="1896" hidden="1">
      <c r="K1896" s="2"/>
    </row>
    <row r="1897" hidden="1">
      <c r="K1897" s="2"/>
    </row>
    <row r="1898" hidden="1">
      <c r="K1898" s="2"/>
    </row>
    <row r="1899" hidden="1">
      <c r="K1899" s="2"/>
    </row>
    <row r="1900" hidden="1">
      <c r="K1900" s="2"/>
    </row>
    <row r="1901" hidden="1">
      <c r="K1901" s="2"/>
    </row>
    <row r="1902" hidden="1">
      <c r="K1902" s="2"/>
    </row>
    <row r="1903" hidden="1">
      <c r="K1903" s="2"/>
    </row>
    <row r="1904" hidden="1">
      <c r="K1904" s="2"/>
    </row>
    <row r="1905" hidden="1">
      <c r="K1905" s="2"/>
    </row>
    <row r="1906" hidden="1">
      <c r="K1906" s="2"/>
    </row>
    <row r="1907" hidden="1">
      <c r="K1907" s="2"/>
    </row>
    <row r="1908" hidden="1">
      <c r="K1908" s="2"/>
    </row>
    <row r="1909" hidden="1">
      <c r="K1909" s="2"/>
    </row>
    <row r="1910" hidden="1">
      <c r="K1910" s="2"/>
    </row>
    <row r="1911" hidden="1">
      <c r="K1911" s="2"/>
    </row>
    <row r="1912" hidden="1">
      <c r="K1912" s="2"/>
    </row>
    <row r="1913" hidden="1">
      <c r="K1913" s="2"/>
    </row>
    <row r="1914" hidden="1">
      <c r="K1914" s="2"/>
    </row>
    <row r="1915" hidden="1">
      <c r="K1915" s="2"/>
    </row>
    <row r="1916" hidden="1">
      <c r="K1916" s="2"/>
    </row>
    <row r="1917" hidden="1">
      <c r="K1917" s="2"/>
    </row>
    <row r="1918" hidden="1">
      <c r="K1918" s="2"/>
    </row>
    <row r="1919" hidden="1">
      <c r="K1919" s="2"/>
    </row>
    <row r="1920" hidden="1">
      <c r="K1920" s="2"/>
    </row>
    <row r="1921" hidden="1">
      <c r="K1921" s="2"/>
    </row>
    <row r="1922" hidden="1">
      <c r="K1922" s="2"/>
    </row>
    <row r="1923" hidden="1">
      <c r="K1923" s="2"/>
    </row>
    <row r="1924" hidden="1">
      <c r="K1924" s="2"/>
    </row>
    <row r="1925" hidden="1">
      <c r="K1925" s="2"/>
    </row>
    <row r="1926" hidden="1">
      <c r="K1926" s="2"/>
    </row>
    <row r="1927" hidden="1">
      <c r="K1927" s="2"/>
    </row>
    <row r="1928" hidden="1">
      <c r="K1928" s="2"/>
    </row>
    <row r="1929" hidden="1">
      <c r="K1929" s="2"/>
    </row>
    <row r="1930" hidden="1">
      <c r="K1930" s="2"/>
    </row>
    <row r="1931" hidden="1">
      <c r="K1931" s="2"/>
    </row>
    <row r="1932" hidden="1">
      <c r="K1932" s="2"/>
    </row>
    <row r="1933" hidden="1">
      <c r="K1933" s="2"/>
    </row>
    <row r="1934" hidden="1">
      <c r="K1934" s="2"/>
    </row>
    <row r="1935" hidden="1">
      <c r="K1935" s="2"/>
    </row>
    <row r="1936" hidden="1">
      <c r="K1936" s="2"/>
    </row>
    <row r="1937" hidden="1">
      <c r="K1937" s="2"/>
    </row>
    <row r="1938" hidden="1">
      <c r="K1938" s="2"/>
    </row>
    <row r="1939" hidden="1">
      <c r="K1939" s="2"/>
    </row>
    <row r="1940" hidden="1">
      <c r="K1940" s="2"/>
    </row>
    <row r="1941" hidden="1">
      <c r="K1941" s="2"/>
    </row>
    <row r="1942" hidden="1">
      <c r="K1942" s="2"/>
    </row>
    <row r="1943" hidden="1">
      <c r="K1943" s="2"/>
    </row>
    <row r="1944" hidden="1">
      <c r="K1944" s="2"/>
    </row>
    <row r="1945" hidden="1">
      <c r="K1945" s="2"/>
    </row>
    <row r="1946" hidden="1">
      <c r="K1946" s="2"/>
    </row>
    <row r="1947" hidden="1">
      <c r="K1947" s="2"/>
    </row>
    <row r="1948" hidden="1">
      <c r="K1948" s="2"/>
    </row>
    <row r="1949" hidden="1">
      <c r="K1949" s="2"/>
    </row>
    <row r="1950" hidden="1">
      <c r="K1950" s="2"/>
    </row>
    <row r="1951" hidden="1">
      <c r="K1951" s="2"/>
    </row>
    <row r="1952" hidden="1">
      <c r="K1952" s="2"/>
    </row>
    <row r="1953" hidden="1">
      <c r="K1953" s="2"/>
    </row>
    <row r="1954" hidden="1">
      <c r="K1954" s="2"/>
    </row>
    <row r="1955" hidden="1">
      <c r="K1955" s="2"/>
    </row>
    <row r="1956" hidden="1">
      <c r="K1956" s="2"/>
    </row>
    <row r="1957" hidden="1">
      <c r="K1957" s="2"/>
    </row>
    <row r="1958" hidden="1">
      <c r="K1958" s="2"/>
    </row>
    <row r="1959" hidden="1">
      <c r="K1959" s="2"/>
    </row>
    <row r="1960" hidden="1">
      <c r="K1960" s="2"/>
    </row>
    <row r="1961" hidden="1">
      <c r="K1961" s="2"/>
    </row>
    <row r="1962" hidden="1">
      <c r="K1962" s="2"/>
    </row>
    <row r="1963" hidden="1">
      <c r="K1963" s="2"/>
    </row>
    <row r="1964" hidden="1">
      <c r="K1964" s="2"/>
    </row>
    <row r="1965" hidden="1">
      <c r="K1965" s="2"/>
    </row>
    <row r="1966" hidden="1">
      <c r="K1966" s="2"/>
    </row>
    <row r="1967" hidden="1">
      <c r="K1967" s="2"/>
    </row>
    <row r="1968" hidden="1">
      <c r="K1968" s="2"/>
    </row>
    <row r="1969" hidden="1">
      <c r="K1969" s="2"/>
    </row>
    <row r="1970" hidden="1">
      <c r="K1970" s="2"/>
    </row>
    <row r="1971" hidden="1">
      <c r="K1971" s="2"/>
    </row>
  </sheetData>
  <mergeCells count="4">
    <mergeCell ref="A1:K1"/>
    <mergeCell ref="B2:C2"/>
    <mergeCell ref="B3:C3"/>
    <mergeCell ref="B4:C4"/>
  </mergeCells>
  <drawing r:id="rId1"/>
</worksheet>
</file>